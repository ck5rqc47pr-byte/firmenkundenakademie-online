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ndeckungsbeitrag" sheetId="1" state="visible" r:id="rId1"/>
    <sheet xmlns:r="http://schemas.openxmlformats.org/officeDocument/2006/relationships" name="EL &amp; Optimier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E05B00"/>
      <sz val="12"/>
    </font>
    <font>
      <i val="1"/>
      <sz val="9"/>
    </font>
    <font>
      <b val="1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DA5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FKB Campus</author>
  </authors>
  <commentList>
    <comment ref="B6" authorId="0" shapeId="0">
      <text>
        <t>Zinsmarge nach Marktzinsmethode.</t>
      </text>
    </comment>
    <comment ref="B11" authorId="0" shapeId="0">
      <text>
        <t>Expected-Loss-Satz; Herleitung auf Blatt 2.</t>
      </text>
    </comment>
    <comment ref="B13" authorId="0" shapeId="0">
      <text>
        <t>Hausindividueller Vollkostensatz; Richtwert 90–150 EUR.</t>
      </text>
    </comment>
  </commentList>
</comments>
</file>

<file path=xl/comments/comment2.xml><?xml version="1.0" encoding="utf-8"?>
<comments xmlns="http://schemas.openxmlformats.org/spreadsheetml/2006/main">
  <authors>
    <author>FKB Campus</author>
  </authors>
  <commentList>
    <comment ref="B5" authorId="0" shapeId="0">
      <text>
        <t>Aus internem Rating (VR-Rating/agree).</t>
      </text>
    </comment>
    <comment ref="B6" authorId="0" shapeId="0">
      <text>
        <t>Abhängig von Besicherung; unbesichert typ. 40–60 %.</t>
      </text>
    </comment>
    <comment ref="B14" authorId="0" shapeId="0">
      <text>
        <t>Mindest-Nettomarge lt. Haus (DZ-Pricing/agree).</t>
      </text>
    </comment>
    <comment ref="B21" authorId="0" shapeId="0">
      <text>
        <t>Aufschlag auf die Kreditmarge (z. B. +15 Bp).</t>
      </text>
    </comment>
    <comment ref="B22" authorId="0" shapeId="0">
      <text>
        <t>Zusätzlicher Verbund-/Provisionsertrag p. a.</t>
      </text>
    </comment>
    <comment ref="B23" authorId="0" shapeId="0">
      <text>
        <t>Eingesparte Betreuungsstunden p. 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34" customWidth="1" min="3" max="3"/>
  </cols>
  <sheetData>
    <row r="1" ht="28" customHeight="1">
      <c r="A1" s="1" t="inlineStr">
        <is>
          <t>M14 · Kundendeckungsbeitrag</t>
        </is>
      </c>
    </row>
    <row r="2" ht="16" customHeight="1">
      <c r="A2" s="2" t="inlineStr">
        <is>
          <t>Vier Ertragskomponenten → DB I → DB II · GELB = Eingabe · Beispiel: Müller GmbH (überschreibbar)</t>
        </is>
      </c>
    </row>
    <row r="4">
      <c r="A4" s="3" t="inlineStr">
        <is>
          <t>EINGABE</t>
        </is>
      </c>
    </row>
    <row r="5">
      <c r="A5" s="4" t="inlineStr">
        <is>
          <t>Kreditvolumen</t>
        </is>
      </c>
      <c r="B5" s="5" t="n">
        <v>800000</v>
      </c>
    </row>
    <row r="6">
      <c r="A6" s="4" t="inlineStr">
        <is>
          <t>Kreditmarge</t>
        </is>
      </c>
      <c r="B6" s="6" t="n">
        <v>0.0185</v>
      </c>
    </row>
    <row r="7">
      <c r="A7" s="4" t="inlineStr">
        <is>
          <t>Einlagenvolumen</t>
        </is>
      </c>
      <c r="B7" s="5" t="n">
        <v>300000</v>
      </c>
    </row>
    <row r="8">
      <c r="A8" s="4" t="inlineStr">
        <is>
          <t>Einlagenmarge</t>
        </is>
      </c>
      <c r="B8" s="6" t="n">
        <v>0.0045</v>
      </c>
    </row>
    <row r="9">
      <c r="A9" s="4" t="inlineStr">
        <is>
          <t>Provisionsertrag (ZV, Avale, Beratung)</t>
        </is>
      </c>
      <c r="B9" s="5" t="n">
        <v>3200</v>
      </c>
    </row>
    <row r="10">
      <c r="A10" s="4" t="inlineStr">
        <is>
          <t>Verbundertrag (R+V, UI, SHA)</t>
        </is>
      </c>
      <c r="B10" s="5" t="n">
        <v>1100</v>
      </c>
    </row>
    <row r="11">
      <c r="A11" s="4" t="inlineStr">
        <is>
          <t>Risikokosten-Satz (EL % auf Kreditvol.)</t>
        </is>
      </c>
      <c r="B11" s="6" t="n">
        <v>0.008</v>
      </c>
    </row>
    <row r="12">
      <c r="A12" s="4" t="inlineStr">
        <is>
          <t>Betreuungsaufwand (Std./Jahr)</t>
        </is>
      </c>
      <c r="B12" s="7" t="n">
        <v>12</v>
      </c>
    </row>
    <row r="13">
      <c r="A13" s="4" t="inlineStr">
        <is>
          <t>Stundensatz (Vollkosten)</t>
        </is>
      </c>
      <c r="B13" s="5" t="n">
        <v>120</v>
      </c>
    </row>
    <row r="15">
      <c r="A15" s="3" t="inlineStr">
        <is>
          <t>BERECHNUNG</t>
        </is>
      </c>
    </row>
    <row r="16">
      <c r="A16" s="4" t="inlineStr">
        <is>
          <t>Kreditzinsen (Volumen × Marge)</t>
        </is>
      </c>
      <c r="B16" s="8">
        <f>B5*B6</f>
        <v/>
      </c>
    </row>
    <row r="17">
      <c r="A17" s="4" t="inlineStr">
        <is>
          <t>Einlagenzinsen (Volumen × Marge)</t>
        </is>
      </c>
      <c r="B17" s="8">
        <f>B7*B8</f>
        <v/>
      </c>
    </row>
    <row r="18">
      <c r="A18" s="4" t="inlineStr">
        <is>
          <t>Zinsüberschuss</t>
        </is>
      </c>
      <c r="B18" s="8">
        <f>B16+B17</f>
        <v/>
      </c>
    </row>
    <row r="19">
      <c r="A19" s="4" t="inlineStr">
        <is>
          <t>Bruttoertrag (Zins + Provision + Verbund)</t>
        </is>
      </c>
      <c r="B19" s="8">
        <f>B18+B9+B10</f>
        <v/>
      </c>
    </row>
    <row r="20">
      <c r="A20" s="4" t="inlineStr">
        <is>
          <t>./. Risikokosten (EL % × Kreditvolumen)</t>
        </is>
      </c>
      <c r="B20" s="8">
        <f>B11*B5</f>
        <v/>
      </c>
    </row>
    <row r="21">
      <c r="A21" s="9">
        <f> DECKUNGSBEITRAG I</f>
        <v/>
      </c>
      <c r="B21" s="10">
        <f>B19-B20</f>
        <v/>
      </c>
      <c r="C21" s="11" t="inlineStr">
        <is>
          <t>DB I = Bruttoertrag − Risikokosten</t>
        </is>
      </c>
    </row>
    <row r="22">
      <c r="A22" s="4" t="inlineStr">
        <is>
          <t>./. Betriebskosten (Std. × Satz)</t>
        </is>
      </c>
      <c r="B22" s="8">
        <f>B12*B13</f>
        <v/>
      </c>
    </row>
    <row r="23">
      <c r="A23" s="9">
        <f> DECKUNGSBEITRAG II</f>
        <v/>
      </c>
      <c r="B23" s="12">
        <f>B21-B22</f>
        <v/>
      </c>
      <c r="C23" s="11" t="inlineStr">
        <is>
          <t>DB II = DB I − Betreuungskosten</t>
        </is>
      </c>
    </row>
    <row r="24">
      <c r="A24" s="9" t="inlineStr">
        <is>
          <t>Kundenrendite (DB II / Kreditvolumen)</t>
        </is>
      </c>
      <c r="B24" s="13">
        <f>B23/B5</f>
        <v/>
      </c>
    </row>
  </sheetData>
  <mergeCells count="4">
    <mergeCell ref="A1:C1"/>
    <mergeCell ref="A4:C4"/>
    <mergeCell ref="A2:C2"/>
    <mergeCell ref="A15:C1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M14 · Expected Loss &amp; Optimierung</t>
        </is>
      </c>
    </row>
    <row r="2" ht="16" customHeight="1">
      <c r="A2" s="2" t="inlineStr">
        <is>
          <t>Risikokosten-Herleitung, NMZ-Check und drei Optimierungshebel · GELB = Eingabe</t>
        </is>
      </c>
    </row>
    <row r="4">
      <c r="A4" s="3" t="inlineStr">
        <is>
          <t>EXPECTED LOSS  (EL = PD × LGD × EAD)</t>
        </is>
      </c>
    </row>
    <row r="5">
      <c r="A5" s="4" t="inlineStr">
        <is>
          <t>PD – Ausfallwahrscheinlichkeit</t>
        </is>
      </c>
      <c r="B5" s="6" t="n">
        <v>0.016</v>
      </c>
    </row>
    <row r="6">
      <c r="A6" s="4" t="inlineStr">
        <is>
          <t>LGD – Verlustquote bei Ausfall</t>
        </is>
      </c>
      <c r="B6" s="14" t="n">
        <v>0.5</v>
      </c>
    </row>
    <row r="7">
      <c r="A7" s="4" t="inlineStr">
        <is>
          <t>EAD – Exposure at Default</t>
        </is>
      </c>
      <c r="B7" s="5" t="n">
        <v>800000</v>
      </c>
    </row>
    <row r="8">
      <c r="A8" s="9" t="inlineStr">
        <is>
          <t>Expected Loss (PD × LGD × EAD)</t>
        </is>
      </c>
      <c r="B8" s="10">
        <f>B5*B6*B7</f>
        <v/>
      </c>
    </row>
    <row r="9">
      <c r="A9" s="4" t="inlineStr">
        <is>
          <t>EL-Satz (EL / EAD)</t>
        </is>
      </c>
      <c r="B9" s="15">
        <f>IF(B7=0,0,B8/B7)</f>
        <v/>
      </c>
    </row>
    <row r="10">
      <c r="A10" s="4" t="inlineStr">
        <is>
          <t>Kreditmarge (aus Blatt 1)</t>
        </is>
      </c>
      <c r="B10" s="15">
        <f>'Kundendeckungsbeitrag'!B6</f>
        <v/>
      </c>
    </row>
    <row r="11">
      <c r="A11" s="9" t="inlineStr">
        <is>
          <t>Risiko-Nettomarge (Marge − EL-Satz)</t>
        </is>
      </c>
      <c r="B11" s="13">
        <f>B10-B9</f>
        <v/>
      </c>
    </row>
    <row r="13">
      <c r="A13" s="3" t="inlineStr">
        <is>
          <t>NMZ-CHECK</t>
        </is>
      </c>
    </row>
    <row r="14">
      <c r="A14" s="4" t="inlineStr">
        <is>
          <t>Nettomargenziel (NMZ, hausindividuell)</t>
        </is>
      </c>
      <c r="B14" s="6" t="n">
        <v>0.01</v>
      </c>
    </row>
    <row r="15">
      <c r="A15" s="4" t="inlineStr">
        <is>
          <t>Kundenrendite (aus Blatt 1)</t>
        </is>
      </c>
      <c r="B15" s="15">
        <f>'Kundendeckungsbeitrag'!B24</f>
        <v/>
      </c>
    </row>
    <row r="16">
      <c r="A16" s="9" t="inlineStr">
        <is>
          <t>Bewertung</t>
        </is>
      </c>
      <c r="B16" s="16">
        <f>IF(B15&gt;=B14,"tragfähig – über NMZ","unter NMZ – Konditionsanpassung erforderlich")</f>
        <v/>
      </c>
    </row>
    <row r="18">
      <c r="A18" s="3" t="inlineStr">
        <is>
          <t>OPTIMIERUNGSSZENARIEN  (Wirkung auf DB II)</t>
        </is>
      </c>
    </row>
    <row r="19">
      <c r="A19" s="17" t="inlineStr">
        <is>
          <t>Szenario</t>
        </is>
      </c>
      <c r="B19" s="17" t="inlineStr">
        <is>
          <t>Stellhebel (Eingabe)</t>
        </is>
      </c>
      <c r="C19" s="17" t="inlineStr">
        <is>
          <t>Neuer DB II</t>
        </is>
      </c>
      <c r="D19" s="17" t="inlineStr">
        <is>
          <t>Δ vs. Basis</t>
        </is>
      </c>
    </row>
    <row r="20">
      <c r="A20" s="4" t="inlineStr">
        <is>
          <t>Basis (aktuell)</t>
        </is>
      </c>
      <c r="B20" s="18" t="inlineStr">
        <is>
          <t>–</t>
        </is>
      </c>
      <c r="C20" s="8">
        <f>'Kundendeckungsbeitrag'!B23</f>
        <v/>
      </c>
      <c r="D20" s="8">
        <f>C20-$C$20</f>
        <v/>
      </c>
    </row>
    <row r="21">
      <c r="A21" s="4" t="inlineStr">
        <is>
          <t>1 · Konditionsanpassung</t>
        </is>
      </c>
      <c r="B21" s="6" t="n">
        <v>0.0015</v>
      </c>
      <c r="C21" s="8">
        <f>'Kundendeckungsbeitrag'!B23+'Kundendeckungsbeitrag'!B5*B21</f>
        <v/>
      </c>
      <c r="D21" s="8">
        <f>C21-$C$20</f>
        <v/>
      </c>
    </row>
    <row r="22">
      <c r="A22" s="4" t="inlineStr">
        <is>
          <t>2 · Cross-Selling</t>
        </is>
      </c>
      <c r="B22" s="5" t="n">
        <v>2000</v>
      </c>
      <c r="C22" s="8">
        <f>'Kundendeckungsbeitrag'!B23+B22</f>
        <v/>
      </c>
      <c r="D22" s="8">
        <f>C22-$C$20</f>
        <v/>
      </c>
    </row>
    <row r="23">
      <c r="A23" s="4" t="inlineStr">
        <is>
          <t>3 · Kostensenkung (Betreuung)</t>
        </is>
      </c>
      <c r="B23" s="7" t="n">
        <v>4</v>
      </c>
      <c r="C23" s="8">
        <f>'Kundendeckungsbeitrag'!B23+B23*'Kundendeckungsbeitrag'!B13</f>
        <v/>
      </c>
      <c r="D23" s="8">
        <f>C23-$C$20</f>
        <v/>
      </c>
    </row>
    <row r="25">
      <c r="A25" s="9" t="inlineStr">
        <is>
          <t>Ertragsstärkster Hebel</t>
        </is>
      </c>
      <c r="B25" s="19">
        <f>IF(AND(D21&gt;=D22,D21&gt;=D23),"Konditionsanpassung",IF(AND(D22&gt;=D21,D22&gt;=D23),"Cross-Selling","Kostensenkung"))&amp;" (+"&amp;TEXT(MAX(D21,D22,D23),"#,##0")&amp;" EUR DB II)"</f>
        <v/>
      </c>
    </row>
  </sheetData>
  <mergeCells count="7">
    <mergeCell ref="A1:D1"/>
    <mergeCell ref="A18:D18"/>
    <mergeCell ref="A4:D4"/>
    <mergeCell ref="A13:D13"/>
    <mergeCell ref="A2:D2"/>
    <mergeCell ref="B25:D25"/>
    <mergeCell ref="B16:D16"/>
  </mergeCells>
  <conditionalFormatting sqref="B11">
    <cfRule type="expression" priority="1" dxfId="0">
      <formula>$B$11&gt;0</formula>
    </cfRule>
    <cfRule type="expression" priority="2" dxfId="1">
      <formula>$B$11&lt;=0</formula>
    </cfRule>
  </conditionalFormatting>
  <conditionalFormatting sqref="B16">
    <cfRule type="expression" priority="3" dxfId="0">
      <formula>$B$15&gt;=$B$14</formula>
    </cfRule>
    <cfRule type="expression" priority="4" dxfId="1">
      <formula>$B$15&lt;$B$14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2026-07-01T18:41:05Z</dcterms:created>
  <dcterms:modified xmlns:dcterms="http://purl.org/dc/terms/" xmlns:xsi="http://www.w3.org/2001/XMLSchema-instance" xsi:type="dcterms:W3CDTF">2026-07-01T18:41:05Z</dcterms:modified>
</cp:coreProperties>
</file>