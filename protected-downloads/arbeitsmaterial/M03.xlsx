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gabe &amp; Kennzahlen" sheetId="1" state="visible" r:id="rId1"/>
    <sheet xmlns:r="http://schemas.openxmlformats.org/officeDocument/2006/relationships" name="Szenario-Vergle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E05B00"/>
      <sz val="11"/>
    </font>
  </fonts>
  <fills count="5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FFFF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FKB Campus</author>
  </authors>
  <commentList>
    <comment ref="B7" authorId="0" shapeId="0">
      <text>
        <t>Schätzung = EBITDA − Abschreibungen; für ROCE benötigt.</t>
      </text>
    </comment>
  </commentList>
</comments>
</file>

<file path=xl/comments/comment2.xml><?xml version="1.0" encoding="utf-8"?>
<comments xmlns="http://schemas.openxmlformats.org/spreadsheetml/2006/main">
  <authors>
    <author>FKB Campus</author>
  </authors>
  <commentList>
    <comment ref="B7" authorId="0" shapeId="0">
      <text>
        <t>Kapitalerhöhung ins Unternehmen (Primary), deckt die Investition weitgehend.</t>
      </text>
    </comment>
    <comment ref="D10" authorId="0" shapeId="0">
      <text>
        <t>Phasenmodell: EK-Aufbau über ~2 Jahre vor der Investition.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4" customWidth="1" min="3" max="3"/>
  </cols>
  <sheetData>
    <row r="1" ht="30" customHeight="1">
      <c r="A1" s="1" t="inlineStr">
        <is>
          <t>M03 · Kennzahlen-Dashboard – Habermaier Präzisionsteile GmbH &amp; Co. KG</t>
        </is>
      </c>
    </row>
    <row r="2" ht="18" customHeight="1">
      <c r="A2" s="2" t="inlineStr">
        <is>
          <t>Alle Beträge in TEUR · GELBE Zellen = Eingabe · weiße Zellen = automatisch berechnet</t>
        </is>
      </c>
    </row>
    <row r="4">
      <c r="A4" s="3" t="inlineStr">
        <is>
          <t>EINGABE · Ist-Werte (Jahr 4)</t>
        </is>
      </c>
    </row>
    <row r="5">
      <c r="A5" s="4" t="inlineStr">
        <is>
          <t>Umsatz</t>
        </is>
      </c>
      <c r="B5" s="5" t="n">
        <v>11400</v>
      </c>
    </row>
    <row r="6">
      <c r="A6" s="4" t="inlineStr">
        <is>
          <t>EBITDA</t>
        </is>
      </c>
      <c r="B6" s="5" t="n">
        <v>1480</v>
      </c>
    </row>
    <row r="7">
      <c r="A7" s="4" t="inlineStr">
        <is>
          <t>EBIT</t>
        </is>
      </c>
      <c r="B7" s="5" t="n">
        <v>1070</v>
      </c>
    </row>
    <row r="8">
      <c r="A8" s="4" t="inlineStr">
        <is>
          <t>Jahresüberschuss</t>
        </is>
      </c>
      <c r="B8" s="5" t="n">
        <v>398</v>
      </c>
    </row>
    <row r="9">
      <c r="A9" s="4" t="inlineStr">
        <is>
          <t>Eigenkapital</t>
        </is>
      </c>
      <c r="B9" s="5" t="n">
        <v>2500</v>
      </c>
    </row>
    <row r="10">
      <c r="A10" s="4" t="inlineStr">
        <is>
          <t>Bilanzsumme</t>
        </is>
      </c>
      <c r="B10" s="5" t="n">
        <v>8100</v>
      </c>
    </row>
    <row r="11">
      <c r="A11" s="4" t="inlineStr">
        <is>
          <t>Nettofinanzverbindlichkeiten</t>
        </is>
      </c>
      <c r="B11" s="5" t="n">
        <v>2400</v>
      </c>
    </row>
    <row r="12">
      <c r="A12" s="4" t="inlineStr">
        <is>
          <t>Free Cashflow</t>
        </is>
      </c>
      <c r="B12" s="5" t="n">
        <v>590</v>
      </c>
    </row>
    <row r="14">
      <c r="A14" s="3" t="inlineStr">
        <is>
          <t>ANNAHMEN</t>
        </is>
      </c>
    </row>
    <row r="15">
      <c r="A15" s="4" t="inlineStr">
        <is>
          <t>Sicherheitspuffer Tilgung</t>
        </is>
      </c>
      <c r="B15" s="6" t="n">
        <v>0.2</v>
      </c>
    </row>
    <row r="16">
      <c r="A16" s="4" t="inlineStr">
        <is>
          <t>max. Tilgungslaufzeit (Jahre)</t>
        </is>
      </c>
      <c r="B16" s="7" t="n">
        <v>8</v>
      </c>
    </row>
    <row r="18">
      <c r="A18" s="3" t="inlineStr">
        <is>
          <t>KENNZAHLEN · automatisch berechnet</t>
        </is>
      </c>
    </row>
    <row r="19">
      <c r="A19" s="8" t="inlineStr">
        <is>
          <t>EK-Quote</t>
        </is>
      </c>
      <c r="B19" s="9">
        <f>B9/B10</f>
        <v/>
      </c>
      <c r="C19" s="4" t="inlineStr">
        <is>
          <t>Branche Maschinenbau 28–32 %</t>
        </is>
      </c>
    </row>
    <row r="20">
      <c r="A20" s="8" t="inlineStr">
        <is>
          <t>Leverage (NFK / EBITDA)</t>
        </is>
      </c>
      <c r="B20" s="10">
        <f>B11/B6</f>
        <v/>
      </c>
      <c r="C20" s="4" t="inlineStr">
        <is>
          <t>Covenant-Grenze i. d. R. 3,0–3,5x</t>
        </is>
      </c>
    </row>
    <row r="21">
      <c r="A21" s="8" t="inlineStr">
        <is>
          <t>EBITDA-Marge</t>
        </is>
      </c>
      <c r="B21" s="9">
        <f>B6/B5</f>
        <v/>
      </c>
    </row>
    <row r="22">
      <c r="A22" s="8" t="inlineStr">
        <is>
          <t>ROCE (EBIT / (EK+NFK))</t>
        </is>
      </c>
      <c r="B22" s="9">
        <f>B7/(B9+B11)</f>
        <v/>
      </c>
    </row>
    <row r="23">
      <c r="A23" s="8" t="inlineStr">
        <is>
          <t>Tilgungskapazität p.a.</t>
        </is>
      </c>
      <c r="B23" s="11">
        <f>B12*(1-B15)</f>
        <v/>
      </c>
    </row>
    <row r="24">
      <c r="A24" s="8" t="inlineStr">
        <is>
          <t>tragbare Neuverschuldung</t>
        </is>
      </c>
      <c r="B24" s="11">
        <f>B23*B16</f>
        <v/>
      </c>
      <c r="C24" s="12">
        <f> reicht für die 3,2-Mio.-Investition?</f>
        <v/>
      </c>
    </row>
  </sheetData>
  <mergeCells count="5">
    <mergeCell ref="A1:C1"/>
    <mergeCell ref="A14:C14"/>
    <mergeCell ref="A18:C18"/>
    <mergeCell ref="A4:C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4" customWidth="1" min="4" max="4"/>
  </cols>
  <sheetData>
    <row r="1" ht="30" customHeight="1">
      <c r="A1" s="1" t="inlineStr">
        <is>
          <t>M03 · Szenario-Vergleich &amp; Finanzierungsplan – Habermaier</t>
        </is>
      </c>
    </row>
    <row r="2">
      <c r="A2" s="2" t="inlineStr">
        <is>
          <t>Investition CNC-Park 3,2 Mio. EUR · Beträge in TEUR · gelbe Zellen = Eingabe</t>
        </is>
      </c>
    </row>
    <row r="4">
      <c r="A4" s="3" t="inlineStr">
        <is>
          <t>ANNAHMEN</t>
        </is>
      </c>
    </row>
    <row r="5">
      <c r="A5" s="4" t="inlineStr">
        <is>
          <t>Investitionsbetrag</t>
        </is>
      </c>
      <c r="B5" s="5" t="n">
        <v>3200</v>
      </c>
    </row>
    <row r="6">
      <c r="A6" s="4" t="inlineStr">
        <is>
          <t>Zinssatz Kredit</t>
        </is>
      </c>
      <c r="B6" s="6" t="n">
        <v>0.045</v>
      </c>
    </row>
    <row r="7">
      <c r="A7" s="4" t="inlineStr">
        <is>
          <t>Investoreneinlage (Primary, 25,1 %)</t>
        </is>
      </c>
      <c r="B7" s="5" t="n">
        <v>3000</v>
      </c>
    </row>
    <row r="9" ht="28" customHeight="1">
      <c r="A9" s="13" t="inlineStr">
        <is>
          <t>Kennzahl</t>
        </is>
      </c>
      <c r="B9" s="13" t="inlineStr">
        <is>
          <t>Szenario 1: Vollkredit</t>
        </is>
      </c>
      <c r="C9" s="13" t="inlineStr">
        <is>
          <t>Szenario 2: Investor 25,1 %</t>
        </is>
      </c>
      <c r="D9" s="13" t="inlineStr">
        <is>
          <t>Szenario 3: EK-Aufbau zuerst</t>
        </is>
      </c>
    </row>
    <row r="10">
      <c r="A10" s="4" t="inlineStr">
        <is>
          <t>Neue Bilanzsumme</t>
        </is>
      </c>
      <c r="B10" s="11">
        <f>'Eingabe &amp; Kennzahlen'!B10+B5</f>
        <v/>
      </c>
      <c r="C10" s="11">
        <f>'Eingabe &amp; Kennzahlen'!B10+B5</f>
        <v/>
      </c>
      <c r="D10" s="5" t="n">
        <v>9500</v>
      </c>
    </row>
    <row r="11">
      <c r="A11" s="4" t="inlineStr">
        <is>
          <t>Neue EK-Quote</t>
        </is>
      </c>
      <c r="B11" s="9">
        <f>'Eingabe &amp; Kennzahlen'!B9/('Eingabe &amp; Kennzahlen'!B10+B5)</f>
        <v/>
      </c>
      <c r="C11" s="9">
        <f>('Eingabe &amp; Kennzahlen'!B9+B7)/('Eingabe &amp; Kennzahlen'!B10+B5)</f>
        <v/>
      </c>
      <c r="D11" s="6" t="n">
        <v>0.35</v>
      </c>
    </row>
    <row r="12">
      <c r="A12" s="4" t="inlineStr">
        <is>
          <t>Neuer Leverage (NFK/EBITDA)</t>
        </is>
      </c>
      <c r="B12" s="10">
        <f>('Eingabe &amp; Kennzahlen'!B11+B5)/'Eingabe &amp; Kennzahlen'!B6</f>
        <v/>
      </c>
      <c r="C12" s="10">
        <f>('Eingabe &amp; Kennzahlen'!B11+B5-B7)/'Eingabe &amp; Kennzahlen'!B6</f>
        <v/>
      </c>
      <c r="D12" s="14" t="n">
        <v>1.1</v>
      </c>
    </row>
    <row r="13">
      <c r="A13" s="4" t="inlineStr">
        <is>
          <t>Jährl. Zinslast (ca.)</t>
        </is>
      </c>
      <c r="B13" s="11">
        <f>B5*B6</f>
        <v/>
      </c>
      <c r="C13" s="11">
        <f>(B5-B7)*B6</f>
        <v/>
      </c>
      <c r="D13" s="5" t="n">
        <v>36</v>
      </c>
    </row>
    <row r="14">
      <c r="A14" s="4" t="inlineStr">
        <is>
          <t>Kontrollverlust?</t>
        </is>
      </c>
      <c r="B14" s="15" t="inlineStr">
        <is>
          <t>Nein</t>
        </is>
      </c>
      <c r="C14" s="15" t="inlineStr">
        <is>
          <t>Ja (25,1 %)</t>
        </is>
      </c>
      <c r="D14" s="15" t="inlineStr">
        <is>
          <t>Nein</t>
        </is>
      </c>
    </row>
    <row r="15">
      <c r="A15" s="4" t="inlineStr">
        <is>
          <t>Kurzbewertung</t>
        </is>
      </c>
      <c r="B15" s="16" t="inlineStr">
        <is>
          <t>Grenzwertig, Covenant-Risiko</t>
        </is>
      </c>
      <c r="C15" s="16" t="inlineStr">
        <is>
          <t>Solide, aber Kontrollverlust</t>
        </is>
      </c>
      <c r="D15" s="16" t="inlineStr">
        <is>
          <t>Sicherheitspuffer, aber Zeitverzug</t>
        </is>
      </c>
    </row>
    <row r="18">
      <c r="A18" s="3" t="inlineStr">
        <is>
          <t>A4 · FINANZIERUNGSPLAN (empfohlenes Szenario) – Tranchenstruktur</t>
        </is>
      </c>
    </row>
    <row r="19">
      <c r="A19" s="17" t="inlineStr">
        <is>
          <t>Tranche</t>
        </is>
      </c>
      <c r="B19" s="17" t="inlineStr">
        <is>
          <t>Betrag (TEUR)</t>
        </is>
      </c>
      <c r="C19" s="17" t="inlineStr">
        <is>
          <t>Laufzeit</t>
        </is>
      </c>
      <c r="D19" s="17" t="inlineStr">
        <is>
          <t>Produkt</t>
        </is>
      </c>
    </row>
    <row r="20">
      <c r="A20" s="4" t="inlineStr">
        <is>
          <t>KfW-Tranche</t>
        </is>
      </c>
      <c r="B20" s="5" t="n">
        <v>1500</v>
      </c>
      <c r="C20" s="18" t="inlineStr">
        <is>
          <t>10 J.</t>
        </is>
      </c>
      <c r="D20" s="18" t="inlineStr">
        <is>
          <t>ERP-Förderkredit / Unternehmerkredit</t>
        </is>
      </c>
    </row>
    <row r="21">
      <c r="A21" s="4" t="inlineStr">
        <is>
          <t>L-Bank-Tranche</t>
        </is>
      </c>
      <c r="B21" s="5" t="n">
        <v>1000</v>
      </c>
      <c r="C21" s="18" t="inlineStr">
        <is>
          <t>8 J.</t>
        </is>
      </c>
      <c r="D21" s="18" t="inlineStr">
        <is>
          <t>Wachstums-/Digitalisierungskredit</t>
        </is>
      </c>
    </row>
    <row r="22">
      <c r="A22" s="4" t="inlineStr">
        <is>
          <t>VR-Bank klassisch (Rest)</t>
        </is>
      </c>
      <c r="B22" s="11">
        <f>B5-B20-B21</f>
        <v/>
      </c>
      <c r="C22" s="15" t="inlineStr">
        <is>
          <t>8–10 J.</t>
        </is>
      </c>
      <c r="D22" s="16" t="inlineStr">
        <is>
          <t>Investitionskredit</t>
        </is>
      </c>
    </row>
    <row r="23">
      <c r="A23" s="8" t="inlineStr">
        <is>
          <t>Summe Tranchen</t>
        </is>
      </c>
      <c r="B23" s="19">
        <f>SUM(B20:B22)</f>
        <v/>
      </c>
    </row>
    <row r="24">
      <c r="A24" s="8" t="inlineStr">
        <is>
          <t>Kontrolle vs. Gesamtinvestition</t>
        </is>
      </c>
      <c r="B24" s="20">
        <f>IF(B23=B5,"✓ stimmt","Abweichung "&amp;TEXT(B23-B5,"#,##0")&amp;" TEUR")</f>
        <v/>
      </c>
      <c r="C24" s="4" t="inlineStr">
        <is>
          <t>Summe der Tranchen muss exakt der Gesamtinvestition entsprechen.</t>
        </is>
      </c>
    </row>
  </sheetData>
  <mergeCells count="5">
    <mergeCell ref="A1:D1"/>
    <mergeCell ref="A18:D18"/>
    <mergeCell ref="C24:D24"/>
    <mergeCell ref="A4:D4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2026-06-24T20:38:14Z</dcterms:created>
  <dcterms:modified xmlns:dcterms="http://purl.org/dc/terms/" xmlns:xsi="http://www.w3.org/2001/XMLSchema-instance" xsi:type="dcterms:W3CDTF">2026-06-24T20:38:14Z</dcterms:modified>
</cp:coreProperties>
</file>