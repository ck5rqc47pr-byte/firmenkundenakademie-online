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defaultThemeVersion="166925"/>
  <mc:AlternateContent xmlns:mc="http://schemas.openxmlformats.org/markup-compatibility/2006">
    <mc:Choice Requires="x15">
      <x15ac:absPath xmlns:x15ac="http://schemas.microsoft.com/office/spreadsheetml/2010/11/ac" url="/Users/Ben/Documents/01_Projekte/Financial Modelling/"/>
    </mc:Choice>
  </mc:AlternateContent>
  <xr:revisionPtr revIDLastSave="0" documentId="13_ncr:1_{82FD67A5-F8B2-384E-AD00-9B1CC6D90F2E}" xr6:coauthVersionLast="47" xr6:coauthVersionMax="47" xr10:uidLastSave="{00000000-0000-0000-0000-000000000000}"/>
  <bookViews>
    <workbookView xWindow="0" yWindow="660" windowWidth="29040" windowHeight="17280" tabRatio="792" xr2:uid="{504F566D-9235-4760-9078-832BF383FE6F}"/>
  </bookViews>
  <sheets>
    <sheet name="Controls" sheetId="5" r:id="rId1"/>
    <sheet name="Input (agree Daten)" sheetId="13" r:id="rId2"/>
    <sheet name="Mapping" sheetId="14" r:id="rId3"/>
    <sheet name="Input (Annahmen)" sheetId="6" r:id="rId4"/>
    <sheet name="GuV" sheetId="7" r:id="rId5"/>
    <sheet name="Bilanz" sheetId="4" r:id="rId6"/>
    <sheet name="CashflowStatement" sheetId="3" r:id="rId7"/>
    <sheet name="Side Calcs" sheetId="8" r:id="rId8"/>
    <sheet name="Debt schedule" sheetId="9" r:id="rId9"/>
    <sheet name="Output" sheetId="1" r:id="rId10"/>
    <sheet name="Soll-Ist-Abgleich" sheetId="12" r:id="rId11"/>
  </sheets>
  <definedNames>
    <definedName name="_xlnm.Print_Area" localSheetId="5">Bilanz!$A$1:$J$44</definedName>
    <definedName name="_xlnm.Print_Area" localSheetId="3">'Input (Annahmen)'!$A$1:$R$52</definedName>
    <definedName name="_xlnm.Print_Area" localSheetId="9">Output!$A$1:$L$20</definedName>
    <definedName name="_xlnm.Print_Area" localSheetId="10">'Soll-Ist-Abgleich'!$A$1:$H$31</definedName>
    <definedName name="_xlnm.Print_Titles" localSheetId="5">Bilanz!$1:$3</definedName>
    <definedName name="_xlnm.Print_Titles" localSheetId="6">CashflowStatement!$1:$3</definedName>
    <definedName name="_xlnm.Print_Titles" localSheetId="0">Controls!$1:$3</definedName>
    <definedName name="_xlnm.Print_Titles" localSheetId="8">'Debt schedule'!$1:$3</definedName>
    <definedName name="_xlnm.Print_Titles" localSheetId="4">GuV!$1:$3</definedName>
    <definedName name="_xlnm.Print_Titles" localSheetId="3">'Input (Annahmen)'!$1:$3</definedName>
    <definedName name="_xlnm.Print_Titles" localSheetId="9">Output!$1:$3</definedName>
    <definedName name="_xlnm.Print_Titles" localSheetId="7">'Side Calcs'!$1:$3</definedName>
    <definedName name="_xlnm.Print_Titles" localSheetId="10">'Soll-Ist-Abgleich'!$1:$3</definedName>
  </definedNames>
  <calcPr calcId="191029" iterate="1"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28" i="12" l="1"/>
  <c r="C23" i="12"/>
  <c r="C22" i="12"/>
  <c r="C19" i="12"/>
  <c r="C18" i="12"/>
  <c r="C17" i="12"/>
  <c r="C16" i="12"/>
  <c r="C15" i="12"/>
  <c r="C14" i="12"/>
  <c r="C13" i="12"/>
  <c r="C12" i="12"/>
  <c r="C9" i="12"/>
  <c r="C7" i="12"/>
  <c r="C6" i="12"/>
  <c r="B28" i="12"/>
  <c r="B23" i="12"/>
  <c r="B22" i="12"/>
  <c r="B19" i="12"/>
  <c r="B18" i="12"/>
  <c r="B17" i="12"/>
  <c r="B16" i="12"/>
  <c r="B15" i="12"/>
  <c r="B14" i="12"/>
  <c r="B13" i="12"/>
  <c r="B12" i="12"/>
  <c r="B9" i="12"/>
  <c r="B7" i="12"/>
  <c r="B6" i="12"/>
  <c r="I9" i="1"/>
  <c r="H9" i="1"/>
  <c r="G9" i="1"/>
  <c r="F9" i="1"/>
  <c r="E9" i="1"/>
  <c r="D9" i="1"/>
  <c r="C9" i="1"/>
  <c r="B9" i="1"/>
  <c r="B10" i="1"/>
  <c r="C32" i="7"/>
  <c r="B32" i="7"/>
  <c r="C40" i="4"/>
  <c r="B40" i="4"/>
  <c r="C25" i="4"/>
  <c r="B25" i="4"/>
  <c r="C24" i="4"/>
  <c r="B24" i="4"/>
  <c r="C14" i="4"/>
  <c r="B14" i="4"/>
  <c r="C7" i="4"/>
  <c r="B7" i="4"/>
  <c r="C38" i="4"/>
  <c r="B38" i="4"/>
  <c r="C37" i="4"/>
  <c r="B37" i="4"/>
  <c r="C34" i="4"/>
  <c r="B34" i="4"/>
  <c r="C33" i="4"/>
  <c r="B33" i="4"/>
  <c r="C32" i="4"/>
  <c r="B32" i="4"/>
  <c r="C29" i="4"/>
  <c r="B29" i="4"/>
  <c r="C26" i="4"/>
  <c r="B26" i="4"/>
  <c r="C16" i="4"/>
  <c r="B16" i="4"/>
  <c r="C13" i="4"/>
  <c r="B13" i="4"/>
  <c r="C12" i="4"/>
  <c r="B12" i="4"/>
  <c r="C9" i="4"/>
  <c r="B9" i="4"/>
  <c r="C8" i="4"/>
  <c r="B8" i="4"/>
  <c r="C27" i="7"/>
  <c r="B27" i="7"/>
  <c r="C22" i="7"/>
  <c r="B22" i="7"/>
  <c r="C21" i="7"/>
  <c r="B21" i="7"/>
  <c r="C18" i="7"/>
  <c r="B18" i="7"/>
  <c r="C17" i="7"/>
  <c r="B17" i="7"/>
  <c r="C16" i="7"/>
  <c r="B16" i="7"/>
  <c r="C15" i="7"/>
  <c r="B15" i="7"/>
  <c r="C14" i="7"/>
  <c r="B14" i="7"/>
  <c r="C13" i="7"/>
  <c r="B13" i="7"/>
  <c r="C12" i="7"/>
  <c r="B12" i="7"/>
  <c r="C11" i="7"/>
  <c r="B11" i="7"/>
  <c r="C8" i="7"/>
  <c r="B8" i="7"/>
  <c r="C6" i="7"/>
  <c r="B6" i="7"/>
  <c r="C5" i="7"/>
  <c r="B5" i="7"/>
  <c r="A1" i="4"/>
  <c r="E35" i="12" l="1"/>
  <c r="E33" i="12"/>
  <c r="E31" i="12"/>
  <c r="E29" i="12"/>
  <c r="E26" i="12"/>
  <c r="E24" i="12"/>
  <c r="E20" i="12"/>
  <c r="E10" i="12"/>
  <c r="E8" i="12"/>
  <c r="A2" i="12" l="1" a="1"/>
  <c r="A2" i="12" s="1"/>
  <c r="C24" i="12"/>
  <c r="B24" i="12"/>
  <c r="C8" i="12"/>
  <c r="C10" i="12" s="1"/>
  <c r="C20" i="12" s="1"/>
  <c r="C26" i="12" s="1"/>
  <c r="C29" i="12" s="1"/>
  <c r="C31" i="12" s="1"/>
  <c r="B8" i="12"/>
  <c r="B10" i="12" s="1"/>
  <c r="B20" i="12" s="1"/>
  <c r="B26" i="12" s="1"/>
  <c r="B29" i="12" s="1"/>
  <c r="B31" i="12" s="1"/>
  <c r="B3" i="12"/>
  <c r="C3" i="12" s="1"/>
  <c r="D4" i="12" s="1"/>
  <c r="A1" i="12"/>
  <c r="E19" i="1"/>
  <c r="F19" i="1"/>
  <c r="G19" i="1"/>
  <c r="H19" i="1"/>
  <c r="I19" i="1"/>
  <c r="D19" i="1"/>
  <c r="E18" i="1"/>
  <c r="F18" i="1"/>
  <c r="G18" i="1"/>
  <c r="H18" i="1"/>
  <c r="I18" i="1"/>
  <c r="D18" i="1"/>
  <c r="E22" i="6"/>
  <c r="F22" i="6" s="1"/>
  <c r="G22" i="6" s="1"/>
  <c r="H22" i="6" s="1"/>
  <c r="I22" i="6" s="1"/>
  <c r="A1" i="6"/>
  <c r="E37" i="6"/>
  <c r="F37" i="6" s="1"/>
  <c r="G37" i="6" s="1"/>
  <c r="H37" i="6" s="1"/>
  <c r="I37" i="6" s="1"/>
  <c r="D6" i="12" l="1"/>
  <c r="D7" i="12"/>
  <c r="D32" i="8"/>
  <c r="C18" i="8"/>
  <c r="G32" i="6"/>
  <c r="B17" i="4" l="1"/>
  <c r="C17" i="4"/>
  <c r="H32" i="6"/>
  <c r="B21" i="6"/>
  <c r="D64" i="9" l="1"/>
  <c r="E40" i="6"/>
  <c r="E64" i="9" s="1"/>
  <c r="C64" i="9"/>
  <c r="B64" i="9"/>
  <c r="C39" i="8"/>
  <c r="D39" i="8"/>
  <c r="H39" i="8"/>
  <c r="B39" i="8"/>
  <c r="C38" i="8"/>
  <c r="D38" i="8"/>
  <c r="E38" i="8"/>
  <c r="F38" i="8"/>
  <c r="G38" i="8"/>
  <c r="H38" i="8"/>
  <c r="I38" i="8"/>
  <c r="B38" i="8"/>
  <c r="B37" i="8"/>
  <c r="B65" i="9" s="1"/>
  <c r="A1" i="7"/>
  <c r="A1" i="3"/>
  <c r="A1" i="8"/>
  <c r="A1" i="9"/>
  <c r="A1" i="1"/>
  <c r="C8" i="1"/>
  <c r="B8" i="1"/>
  <c r="H7" i="6"/>
  <c r="I7" i="6" s="1"/>
  <c r="E20" i="6"/>
  <c r="F20" i="6" s="1"/>
  <c r="G20" i="6" s="1"/>
  <c r="H20" i="6" s="1"/>
  <c r="I20" i="6" s="1"/>
  <c r="F40" i="6" l="1"/>
  <c r="C14" i="8"/>
  <c r="F64" i="9" l="1"/>
  <c r="G40" i="6"/>
  <c r="E7" i="9"/>
  <c r="F7" i="9"/>
  <c r="G7" i="9"/>
  <c r="H7" i="9"/>
  <c r="I7" i="9"/>
  <c r="D7" i="9"/>
  <c r="C43" i="8"/>
  <c r="B43" i="8"/>
  <c r="C42" i="8"/>
  <c r="B42" i="8"/>
  <c r="B11" i="1" s="1"/>
  <c r="D7" i="1"/>
  <c r="C10" i="1"/>
  <c r="C11" i="1" l="1"/>
  <c r="H40" i="6"/>
  <c r="G64" i="9"/>
  <c r="B3" i="6"/>
  <c r="B3" i="7"/>
  <c r="B3" i="4"/>
  <c r="B3" i="3"/>
  <c r="B3" i="8"/>
  <c r="B3" i="9"/>
  <c r="B3" i="1"/>
  <c r="B3" i="5"/>
  <c r="E17" i="9"/>
  <c r="F17" i="9"/>
  <c r="G17" i="9"/>
  <c r="H17" i="9"/>
  <c r="I17" i="9"/>
  <c r="E18" i="9"/>
  <c r="F18" i="9"/>
  <c r="G18" i="9"/>
  <c r="H18" i="9"/>
  <c r="I18" i="9"/>
  <c r="E9" i="4"/>
  <c r="F9" i="4"/>
  <c r="G9" i="4"/>
  <c r="H9" i="4"/>
  <c r="I9" i="4"/>
  <c r="D38" i="3"/>
  <c r="C40" i="3"/>
  <c r="H64" i="9" l="1"/>
  <c r="I40" i="6"/>
  <c r="I64" i="9" s="1"/>
  <c r="I9" i="3"/>
  <c r="H9" i="3"/>
  <c r="G9" i="3"/>
  <c r="F9" i="3"/>
  <c r="A6" i="3"/>
  <c r="B40" i="9"/>
  <c r="C37" i="9"/>
  <c r="C51" i="9" s="1"/>
  <c r="B37" i="9"/>
  <c r="B51" i="9" s="1"/>
  <c r="C34" i="9"/>
  <c r="C50" i="6" s="1"/>
  <c r="C31" i="9"/>
  <c r="C50" i="9" s="1"/>
  <c r="B31" i="9"/>
  <c r="B50" i="9" s="1"/>
  <c r="B28" i="9"/>
  <c r="C25" i="9"/>
  <c r="C47" i="9" s="1"/>
  <c r="B25" i="9"/>
  <c r="B47" i="9" s="1"/>
  <c r="D22" i="9"/>
  <c r="D17" i="9"/>
  <c r="D48" i="6"/>
  <c r="D18" i="9" s="1"/>
  <c r="C19" i="9"/>
  <c r="C46" i="9" s="1"/>
  <c r="B19" i="9"/>
  <c r="C16" i="9" s="1"/>
  <c r="D12" i="9"/>
  <c r="C12" i="9"/>
  <c r="C46" i="6" s="1"/>
  <c r="C49" i="6" s="1"/>
  <c r="C9" i="9"/>
  <c r="D45" i="6" s="1"/>
  <c r="D8" i="9" s="1"/>
  <c r="B9" i="9"/>
  <c r="C6" i="9" s="1"/>
  <c r="E39" i="6"/>
  <c r="C40" i="8"/>
  <c r="D37" i="8" s="1"/>
  <c r="B40" i="8"/>
  <c r="C37" i="8" s="1"/>
  <c r="C65" i="9" s="1"/>
  <c r="C66" i="9" s="1"/>
  <c r="A31" i="8"/>
  <c r="C33" i="8"/>
  <c r="D30" i="8" s="1"/>
  <c r="B33" i="8"/>
  <c r="C30" i="8" s="1"/>
  <c r="C24" i="8"/>
  <c r="C25" i="8" s="1"/>
  <c r="C36" i="6" s="1"/>
  <c r="C7" i="1" s="1"/>
  <c r="B24" i="8"/>
  <c r="C21" i="8"/>
  <c r="B21" i="8"/>
  <c r="C19" i="8"/>
  <c r="C34" i="6" s="1"/>
  <c r="B18" i="8"/>
  <c r="B19" i="8" s="1"/>
  <c r="B34" i="6" s="1"/>
  <c r="D12" i="8"/>
  <c r="C12" i="8"/>
  <c r="C33" i="6" s="1"/>
  <c r="D33" i="6" s="1"/>
  <c r="C15" i="8"/>
  <c r="B15" i="8"/>
  <c r="C9" i="8"/>
  <c r="D6" i="8" s="1"/>
  <c r="B9" i="8"/>
  <c r="C6" i="8" s="1"/>
  <c r="D9" i="4"/>
  <c r="E9" i="3" s="1"/>
  <c r="C27" i="6"/>
  <c r="B27" i="6"/>
  <c r="C26" i="6"/>
  <c r="D26" i="6" s="1"/>
  <c r="D34" i="4" s="1"/>
  <c r="D15" i="3" s="1"/>
  <c r="B26" i="6"/>
  <c r="F39" i="6" l="1"/>
  <c r="E39" i="8"/>
  <c r="E26" i="6"/>
  <c r="E34" i="4" s="1"/>
  <c r="E15" i="3" s="1"/>
  <c r="B25" i="8"/>
  <c r="B36" i="6" s="1"/>
  <c r="B7" i="1" s="1"/>
  <c r="D14" i="8"/>
  <c r="D8" i="3" s="1"/>
  <c r="C52" i="9"/>
  <c r="D16" i="9"/>
  <c r="D19" i="9" s="1"/>
  <c r="D46" i="9" s="1"/>
  <c r="B52" i="9"/>
  <c r="D9" i="3"/>
  <c r="D6" i="9"/>
  <c r="C45" i="9"/>
  <c r="C48" i="9" s="1"/>
  <c r="B45" i="9"/>
  <c r="B46" i="9"/>
  <c r="C28" i="9"/>
  <c r="C22" i="9"/>
  <c r="C40" i="9"/>
  <c r="F22" i="9"/>
  <c r="F12" i="9"/>
  <c r="E12" i="9"/>
  <c r="E22" i="9"/>
  <c r="C27" i="8"/>
  <c r="E36" i="6"/>
  <c r="E7" i="1" s="1"/>
  <c r="D25" i="8"/>
  <c r="B27" i="8"/>
  <c r="E34" i="6"/>
  <c r="D19" i="8"/>
  <c r="E33" i="6"/>
  <c r="C24" i="6"/>
  <c r="D24" i="6" s="1"/>
  <c r="B24" i="6"/>
  <c r="C23" i="6"/>
  <c r="D23" i="6" s="1"/>
  <c r="B23" i="6"/>
  <c r="C21" i="6"/>
  <c r="D21" i="6" s="1"/>
  <c r="C20" i="6"/>
  <c r="B20" i="6"/>
  <c r="C7" i="7"/>
  <c r="C22" i="8" s="1"/>
  <c r="C35" i="6" s="1"/>
  <c r="B7" i="7"/>
  <c r="C41" i="4"/>
  <c r="B41" i="4"/>
  <c r="C35" i="4"/>
  <c r="B35" i="4"/>
  <c r="C27" i="4"/>
  <c r="C30" i="4" s="1"/>
  <c r="B27" i="4"/>
  <c r="B30" i="4" s="1"/>
  <c r="C10" i="4"/>
  <c r="B10" i="4"/>
  <c r="C23" i="7"/>
  <c r="B23" i="7"/>
  <c r="C54" i="9" l="1"/>
  <c r="G39" i="6"/>
  <c r="F39" i="8"/>
  <c r="F26" i="6"/>
  <c r="F34" i="4" s="1"/>
  <c r="F15" i="3" s="1"/>
  <c r="C14" i="1"/>
  <c r="B14" i="1"/>
  <c r="D21" i="9"/>
  <c r="D38" i="4"/>
  <c r="D31" i="3" s="1"/>
  <c r="E16" i="9"/>
  <c r="E19" i="9" s="1"/>
  <c r="E21" i="9" s="1"/>
  <c r="B25" i="6"/>
  <c r="B7" i="6"/>
  <c r="E21" i="6"/>
  <c r="D14" i="4"/>
  <c r="C19" i="4"/>
  <c r="C22" i="6"/>
  <c r="C7" i="6"/>
  <c r="D9" i="9"/>
  <c r="E45" i="6" s="1"/>
  <c r="E8" i="9" s="1"/>
  <c r="B48" i="9"/>
  <c r="B54" i="9" s="1"/>
  <c r="D28" i="9"/>
  <c r="E49" i="6"/>
  <c r="C43" i="4"/>
  <c r="C6" i="1" s="1"/>
  <c r="B43" i="4"/>
  <c r="B6" i="1" s="1"/>
  <c r="D34" i="9"/>
  <c r="E50" i="6"/>
  <c r="D40" i="9"/>
  <c r="B19" i="4"/>
  <c r="E31" i="6"/>
  <c r="F31" i="6" s="1"/>
  <c r="G31" i="6" s="1"/>
  <c r="H31" i="6" s="1"/>
  <c r="I31" i="6" s="1"/>
  <c r="D8" i="8"/>
  <c r="D18" i="7" s="1"/>
  <c r="G22" i="9"/>
  <c r="G12" i="9"/>
  <c r="H46" i="6"/>
  <c r="F33" i="6"/>
  <c r="F34" i="6"/>
  <c r="E19" i="8"/>
  <c r="F36" i="6"/>
  <c r="F7" i="1" s="1"/>
  <c r="E25" i="8"/>
  <c r="D22" i="8"/>
  <c r="E35" i="6"/>
  <c r="C6" i="6"/>
  <c r="B22" i="6"/>
  <c r="B9" i="6"/>
  <c r="B10" i="6"/>
  <c r="B14" i="6"/>
  <c r="B13" i="6"/>
  <c r="B22" i="8"/>
  <c r="B35" i="6" s="1"/>
  <c r="C30" i="6"/>
  <c r="D30" i="6" s="1"/>
  <c r="C14" i="6"/>
  <c r="C10" i="6"/>
  <c r="C8" i="6"/>
  <c r="C12" i="6"/>
  <c r="C9" i="6"/>
  <c r="C11" i="6"/>
  <c r="C25" i="6"/>
  <c r="C32" i="6"/>
  <c r="C13" i="6"/>
  <c r="D7" i="7"/>
  <c r="D27" i="6" s="1"/>
  <c r="D40" i="4" s="1"/>
  <c r="D17" i="3" s="1"/>
  <c r="B8" i="6"/>
  <c r="B9" i="7"/>
  <c r="B19" i="7" s="1"/>
  <c r="B12" i="1" s="1"/>
  <c r="B12" i="6"/>
  <c r="D24" i="4"/>
  <c r="D26" i="3" s="1"/>
  <c r="E23" i="6"/>
  <c r="C9" i="7"/>
  <c r="C19" i="7" s="1"/>
  <c r="C12" i="1" s="1"/>
  <c r="D25" i="4"/>
  <c r="D27" i="3" s="1"/>
  <c r="E24" i="6"/>
  <c r="B11" i="6"/>
  <c r="C3" i="9"/>
  <c r="D3" i="9" s="1"/>
  <c r="E3" i="9" s="1"/>
  <c r="F3" i="9" s="1"/>
  <c r="G3" i="9" s="1"/>
  <c r="H3" i="9" s="1"/>
  <c r="I3" i="9" s="1"/>
  <c r="A2" i="9" a="1"/>
  <c r="A2" i="9" s="1"/>
  <c r="C3" i="8"/>
  <c r="D3" i="8" s="1"/>
  <c r="E3" i="8" s="1"/>
  <c r="F3" i="8" s="1"/>
  <c r="G3" i="8" s="1"/>
  <c r="H3" i="8" s="1"/>
  <c r="I3" i="8" s="1"/>
  <c r="A2" i="8" a="1"/>
  <c r="A2" i="8" s="1"/>
  <c r="A2" i="1" a="1"/>
  <c r="A2" i="1" s="1"/>
  <c r="A2" i="6" a="1"/>
  <c r="A2" i="6" s="1"/>
  <c r="A2" i="7" a="1"/>
  <c r="A2" i="7" s="1"/>
  <c r="A2" i="4" a="1"/>
  <c r="A2" i="4" s="1"/>
  <c r="A2" i="3" a="1"/>
  <c r="A2" i="3" s="1"/>
  <c r="A2" i="5" a="1"/>
  <c r="A2" i="5" s="1"/>
  <c r="C3" i="7"/>
  <c r="D3" i="7" s="1"/>
  <c r="E3" i="7" s="1"/>
  <c r="F3" i="7" s="1"/>
  <c r="G3" i="7" s="1"/>
  <c r="H3" i="7" s="1"/>
  <c r="I3" i="7" s="1"/>
  <c r="C3" i="6"/>
  <c r="D3" i="6" s="1"/>
  <c r="E3" i="6" s="1"/>
  <c r="F3" i="6" s="1"/>
  <c r="G3" i="6" s="1"/>
  <c r="H3" i="6" s="1"/>
  <c r="I3" i="6" s="1"/>
  <c r="C3" i="5"/>
  <c r="D3" i="5" s="1"/>
  <c r="E3" i="5" s="1"/>
  <c r="F3" i="5" s="1"/>
  <c r="G3" i="5" s="1"/>
  <c r="H3" i="5" s="1"/>
  <c r="I3" i="5" s="1"/>
  <c r="C3" i="4"/>
  <c r="D3" i="4" s="1"/>
  <c r="E3" i="4" s="1"/>
  <c r="F3" i="4" s="1"/>
  <c r="G3" i="4" s="1"/>
  <c r="H3" i="4" s="1"/>
  <c r="I3" i="4" s="1"/>
  <c r="C3" i="3"/>
  <c r="D3" i="3" s="1"/>
  <c r="E3" i="3" s="1"/>
  <c r="F3" i="3" s="1"/>
  <c r="G3" i="3" s="1"/>
  <c r="H3" i="3" s="1"/>
  <c r="I3" i="3" s="1"/>
  <c r="C3" i="1"/>
  <c r="D3" i="1" s="1"/>
  <c r="E3" i="1" s="1"/>
  <c r="F3" i="1" s="1"/>
  <c r="G3" i="1" s="1"/>
  <c r="H3" i="1" s="1"/>
  <c r="I3" i="1" s="1"/>
  <c r="D25" i="6" l="1"/>
  <c r="E25" i="6" s="1"/>
  <c r="I39" i="8"/>
  <c r="G39" i="8"/>
  <c r="G26" i="6"/>
  <c r="E38" i="4"/>
  <c r="E31" i="3" s="1"/>
  <c r="E14" i="6"/>
  <c r="B45" i="4"/>
  <c r="F16" i="9"/>
  <c r="F19" i="9" s="1"/>
  <c r="F46" i="9" s="1"/>
  <c r="E46" i="9"/>
  <c r="D14" i="7"/>
  <c r="E7" i="7"/>
  <c r="D11" i="7"/>
  <c r="D7" i="8"/>
  <c r="D7" i="3"/>
  <c r="D12" i="3"/>
  <c r="F21" i="6"/>
  <c r="E14" i="4"/>
  <c r="E12" i="3" s="1"/>
  <c r="E10" i="6"/>
  <c r="E6" i="9"/>
  <c r="E9" i="9" s="1"/>
  <c r="D11" i="9"/>
  <c r="D33" i="4"/>
  <c r="D45" i="9"/>
  <c r="E28" i="9"/>
  <c r="F49" i="6"/>
  <c r="C45" i="4"/>
  <c r="F24" i="6"/>
  <c r="E25" i="4"/>
  <c r="E27" i="3" s="1"/>
  <c r="F23" i="6"/>
  <c r="E24" i="4"/>
  <c r="E26" i="3" s="1"/>
  <c r="E40" i="9"/>
  <c r="E34" i="9"/>
  <c r="F50" i="6"/>
  <c r="H22" i="9"/>
  <c r="H12" i="9"/>
  <c r="I46" i="6"/>
  <c r="C25" i="7"/>
  <c r="C28" i="7" s="1"/>
  <c r="C30" i="7" s="1"/>
  <c r="B25" i="7"/>
  <c r="G33" i="6"/>
  <c r="E13" i="6"/>
  <c r="F35" i="6"/>
  <c r="E22" i="8"/>
  <c r="G36" i="6"/>
  <c r="G7" i="1" s="1"/>
  <c r="F25" i="8"/>
  <c r="G34" i="6"/>
  <c r="F19" i="8"/>
  <c r="D32" i="4"/>
  <c r="E8" i="6"/>
  <c r="F8" i="6" s="1"/>
  <c r="E30" i="6"/>
  <c r="D16" i="4"/>
  <c r="D8" i="7"/>
  <c r="D9" i="7" s="1"/>
  <c r="D12" i="7"/>
  <c r="E32" i="6"/>
  <c r="D13" i="8"/>
  <c r="D22" i="3" s="1"/>
  <c r="D15" i="7"/>
  <c r="D21" i="8"/>
  <c r="D13" i="4" s="1"/>
  <c r="E8" i="7" l="1"/>
  <c r="E27" i="6"/>
  <c r="E40" i="4" s="1"/>
  <c r="E17" i="3" s="1"/>
  <c r="D8" i="12"/>
  <c r="G8" i="12" s="1"/>
  <c r="G34" i="4"/>
  <c r="G15" i="3" s="1"/>
  <c r="H26" i="6"/>
  <c r="G16" i="9"/>
  <c r="G19" i="9" s="1"/>
  <c r="G21" i="9" s="1"/>
  <c r="F38" i="4"/>
  <c r="F31" i="3" s="1"/>
  <c r="F21" i="9"/>
  <c r="E11" i="7"/>
  <c r="D12" i="12" s="1"/>
  <c r="G12" i="12" s="1"/>
  <c r="D17" i="7"/>
  <c r="E21" i="8"/>
  <c r="E13" i="4" s="1"/>
  <c r="E11" i="3" s="1"/>
  <c r="F7" i="7"/>
  <c r="F11" i="6"/>
  <c r="D16" i="7"/>
  <c r="C31" i="8"/>
  <c r="C37" i="6" s="1"/>
  <c r="E16" i="4"/>
  <c r="E13" i="3" s="1"/>
  <c r="E11" i="9"/>
  <c r="F45" i="6"/>
  <c r="F8" i="9" s="1"/>
  <c r="D13" i="7"/>
  <c r="E18" i="8"/>
  <c r="E12" i="4" s="1"/>
  <c r="E10" i="1" s="1"/>
  <c r="E24" i="8"/>
  <c r="E37" i="4" s="1"/>
  <c r="E17" i="7"/>
  <c r="D18" i="12" s="1"/>
  <c r="G18" i="12" s="1"/>
  <c r="E13" i="7"/>
  <c r="D14" i="12" s="1"/>
  <c r="G14" i="12" s="1"/>
  <c r="E16" i="7"/>
  <c r="D17" i="12" s="1"/>
  <c r="G17" i="12" s="1"/>
  <c r="G21" i="6"/>
  <c r="F14" i="4"/>
  <c r="F12" i="3" s="1"/>
  <c r="D13" i="3"/>
  <c r="D31" i="9"/>
  <c r="C15" i="6"/>
  <c r="C13" i="1"/>
  <c r="B28" i="7"/>
  <c r="B30" i="7" s="1"/>
  <c r="B13" i="1"/>
  <c r="D43" i="8"/>
  <c r="D30" i="3"/>
  <c r="E45" i="9"/>
  <c r="F6" i="9"/>
  <c r="E33" i="4"/>
  <c r="F28" i="9"/>
  <c r="G49" i="6"/>
  <c r="G24" i="6"/>
  <c r="F25" i="4"/>
  <c r="F27" i="3" s="1"/>
  <c r="G23" i="6"/>
  <c r="F24" i="4"/>
  <c r="F26" i="3" s="1"/>
  <c r="F34" i="9"/>
  <c r="F40" i="9"/>
  <c r="G50" i="6"/>
  <c r="I22" i="9"/>
  <c r="I12" i="9"/>
  <c r="B15" i="6"/>
  <c r="D15" i="8"/>
  <c r="D8" i="4" s="1"/>
  <c r="E12" i="8" s="1"/>
  <c r="D9" i="8"/>
  <c r="D21" i="3"/>
  <c r="E13" i="8"/>
  <c r="E22" i="3" s="1"/>
  <c r="F30" i="6"/>
  <c r="E7" i="8"/>
  <c r="E21" i="3" s="1"/>
  <c r="H33" i="6"/>
  <c r="I33" i="6" s="1"/>
  <c r="F14" i="6"/>
  <c r="F13" i="6"/>
  <c r="F10" i="6"/>
  <c r="D35" i="4"/>
  <c r="D14" i="3"/>
  <c r="F25" i="6"/>
  <c r="E32" i="4"/>
  <c r="H36" i="6"/>
  <c r="H7" i="1" s="1"/>
  <c r="G25" i="8"/>
  <c r="D11" i="3"/>
  <c r="H34" i="6"/>
  <c r="G19" i="8"/>
  <c r="G35" i="6"/>
  <c r="F22" i="8"/>
  <c r="E12" i="6"/>
  <c r="E15" i="7" s="1"/>
  <c r="D16" i="12" s="1"/>
  <c r="G16" i="12" s="1"/>
  <c r="E9" i="6"/>
  <c r="E12" i="7" s="1"/>
  <c r="D13" i="12" s="1"/>
  <c r="G13" i="12" s="1"/>
  <c r="D24" i="8"/>
  <c r="D37" i="4" s="1"/>
  <c r="D18" i="8"/>
  <c r="H16" i="9" l="1"/>
  <c r="H19" i="9" s="1"/>
  <c r="G38" i="4"/>
  <c r="G31" i="3" s="1"/>
  <c r="G46" i="9"/>
  <c r="F16" i="4"/>
  <c r="F27" i="6"/>
  <c r="F40" i="4" s="1"/>
  <c r="F17" i="3" s="1"/>
  <c r="E9" i="7"/>
  <c r="D10" i="12" s="1"/>
  <c r="G10" i="12" s="1"/>
  <c r="D9" i="12"/>
  <c r="G9" i="12" s="1"/>
  <c r="E32" i="8"/>
  <c r="H34" i="4"/>
  <c r="H15" i="3" s="1"/>
  <c r="I26" i="6"/>
  <c r="I34" i="4" s="1"/>
  <c r="G7" i="7"/>
  <c r="F11" i="7"/>
  <c r="F14" i="7"/>
  <c r="G15" i="6"/>
  <c r="I15" i="6" s="1"/>
  <c r="F8" i="7"/>
  <c r="F9" i="7" s="1"/>
  <c r="E31" i="9"/>
  <c r="E50" i="9" s="1"/>
  <c r="F17" i="7"/>
  <c r="E14" i="7"/>
  <c r="D15" i="12" s="1"/>
  <c r="G15" i="12" s="1"/>
  <c r="F21" i="8"/>
  <c r="F13" i="4" s="1"/>
  <c r="F11" i="3" s="1"/>
  <c r="F16" i="7"/>
  <c r="F13" i="7"/>
  <c r="E27" i="8"/>
  <c r="F13" i="3"/>
  <c r="B31" i="8"/>
  <c r="F9" i="9"/>
  <c r="F45" i="9" s="1"/>
  <c r="H21" i="6"/>
  <c r="G14" i="4"/>
  <c r="F31" i="9"/>
  <c r="F50" i="9" s="1"/>
  <c r="D50" i="9"/>
  <c r="D33" i="9"/>
  <c r="D19" i="7"/>
  <c r="D32" i="7" s="1"/>
  <c r="E30" i="3"/>
  <c r="E43" i="8"/>
  <c r="H38" i="4"/>
  <c r="H31" i="3" s="1"/>
  <c r="I16" i="9"/>
  <c r="I19" i="9" s="1"/>
  <c r="I21" i="9" s="1"/>
  <c r="H46" i="9"/>
  <c r="H21" i="9"/>
  <c r="G28" i="9"/>
  <c r="H49" i="6"/>
  <c r="H24" i="6"/>
  <c r="G25" i="4"/>
  <c r="G27" i="3" s="1"/>
  <c r="H23" i="6"/>
  <c r="G24" i="4"/>
  <c r="G26" i="3" s="1"/>
  <c r="G40" i="9"/>
  <c r="G34" i="9"/>
  <c r="H50" i="6"/>
  <c r="D23" i="3"/>
  <c r="D7" i="4"/>
  <c r="D10" i="4" s="1"/>
  <c r="E6" i="8"/>
  <c r="E23" i="3"/>
  <c r="F13" i="8"/>
  <c r="F22" i="3" s="1"/>
  <c r="G30" i="6"/>
  <c r="F7" i="8"/>
  <c r="F21" i="3" s="1"/>
  <c r="E14" i="8"/>
  <c r="E8" i="3" s="1"/>
  <c r="E14" i="3"/>
  <c r="E35" i="4"/>
  <c r="F9" i="6"/>
  <c r="F12" i="7" s="1"/>
  <c r="G25" i="6"/>
  <c r="F32" i="4"/>
  <c r="G10" i="6"/>
  <c r="G8" i="6"/>
  <c r="F12" i="6"/>
  <c r="F15" i="7" s="1"/>
  <c r="G11" i="6"/>
  <c r="G13" i="6"/>
  <c r="G14" i="6"/>
  <c r="D16" i="3"/>
  <c r="E16" i="3"/>
  <c r="I34" i="6"/>
  <c r="I19" i="8" s="1"/>
  <c r="H19" i="8"/>
  <c r="I36" i="6"/>
  <c r="H25" i="8"/>
  <c r="H35" i="6"/>
  <c r="G22" i="8"/>
  <c r="D12" i="4"/>
  <c r="D10" i="1" s="1"/>
  <c r="D27" i="8"/>
  <c r="G13" i="7" l="1"/>
  <c r="G8" i="7"/>
  <c r="G18" i="8" s="1"/>
  <c r="G12" i="4" s="1"/>
  <c r="G10" i="1" s="1"/>
  <c r="G27" i="6"/>
  <c r="G40" i="4" s="1"/>
  <c r="G17" i="3" s="1"/>
  <c r="G16" i="7"/>
  <c r="G17" i="7"/>
  <c r="G16" i="4"/>
  <c r="G13" i="3" s="1"/>
  <c r="G21" i="8"/>
  <c r="G13" i="4" s="1"/>
  <c r="G11" i="3" s="1"/>
  <c r="G14" i="7"/>
  <c r="G11" i="7"/>
  <c r="H7" i="7"/>
  <c r="H27" i="6" s="1"/>
  <c r="H40" i="4" s="1"/>
  <c r="H17" i="3" s="1"/>
  <c r="I15" i="3"/>
  <c r="F32" i="8"/>
  <c r="F28" i="3" s="1"/>
  <c r="F24" i="8"/>
  <c r="F37" i="4" s="1"/>
  <c r="F16" i="3" s="1"/>
  <c r="F18" i="8"/>
  <c r="F12" i="4" s="1"/>
  <c r="F10" i="1" s="1"/>
  <c r="E33" i="9"/>
  <c r="G6" i="9"/>
  <c r="F33" i="4"/>
  <c r="F43" i="8" s="1"/>
  <c r="F33" i="9"/>
  <c r="G9" i="7"/>
  <c r="F11" i="9"/>
  <c r="G45" i="6"/>
  <c r="G8" i="9" s="1"/>
  <c r="G24" i="8"/>
  <c r="G37" i="4" s="1"/>
  <c r="I21" i="6"/>
  <c r="I14" i="4" s="1"/>
  <c r="H14" i="4"/>
  <c r="H12" i="3"/>
  <c r="G12" i="3"/>
  <c r="I7" i="7"/>
  <c r="I27" i="6" s="1"/>
  <c r="I40" i="4" s="1"/>
  <c r="I17" i="3" s="1"/>
  <c r="G31" i="9"/>
  <c r="G50" i="9" s="1"/>
  <c r="I46" i="9"/>
  <c r="I38" i="4"/>
  <c r="I31" i="3" s="1"/>
  <c r="I49" i="6"/>
  <c r="I28" i="9" s="1"/>
  <c r="H28" i="9"/>
  <c r="I24" i="6"/>
  <c r="I25" i="4" s="1"/>
  <c r="H25" i="4"/>
  <c r="H27" i="3" s="1"/>
  <c r="I23" i="6"/>
  <c r="I24" i="4" s="1"/>
  <c r="H24" i="4"/>
  <c r="H26" i="3" s="1"/>
  <c r="I50" i="6"/>
  <c r="H40" i="9"/>
  <c r="H34" i="9"/>
  <c r="I25" i="8"/>
  <c r="I7" i="1"/>
  <c r="H30" i="6"/>
  <c r="G7" i="8"/>
  <c r="G21" i="3" s="1"/>
  <c r="G13" i="8"/>
  <c r="G22" i="3" s="1"/>
  <c r="E15" i="8"/>
  <c r="E8" i="4" s="1"/>
  <c r="F12" i="8" s="1"/>
  <c r="E8" i="8"/>
  <c r="E18" i="7" s="1"/>
  <c r="D19" i="12" s="1"/>
  <c r="G19" i="12" s="1"/>
  <c r="F23" i="3"/>
  <c r="H13" i="6"/>
  <c r="H8" i="6"/>
  <c r="G9" i="6"/>
  <c r="G12" i="7" s="1"/>
  <c r="H11" i="6"/>
  <c r="H10" i="6"/>
  <c r="F14" i="3"/>
  <c r="H14" i="6"/>
  <c r="H17" i="7" s="1"/>
  <c r="G12" i="6"/>
  <c r="G15" i="7" s="1"/>
  <c r="H25" i="6"/>
  <c r="G32" i="4"/>
  <c r="I35" i="6"/>
  <c r="I22" i="8" s="1"/>
  <c r="H22" i="8"/>
  <c r="D10" i="3"/>
  <c r="E10" i="3"/>
  <c r="H8" i="7" l="1"/>
  <c r="H9" i="7" s="1"/>
  <c r="H13" i="7"/>
  <c r="H16" i="4"/>
  <c r="H13" i="3" s="1"/>
  <c r="H14" i="7"/>
  <c r="H21" i="8"/>
  <c r="H11" i="7"/>
  <c r="H16" i="7"/>
  <c r="I12" i="3"/>
  <c r="F35" i="4"/>
  <c r="G32" i="8"/>
  <c r="G10" i="3"/>
  <c r="F10" i="3"/>
  <c r="F27" i="8"/>
  <c r="G16" i="3"/>
  <c r="G9" i="9"/>
  <c r="H6" i="9" s="1"/>
  <c r="F30" i="3"/>
  <c r="G27" i="8"/>
  <c r="G33" i="9"/>
  <c r="H18" i="8"/>
  <c r="H12" i="4" s="1"/>
  <c r="H10" i="1" s="1"/>
  <c r="I21" i="8"/>
  <c r="I13" i="4" s="1"/>
  <c r="H24" i="8"/>
  <c r="H37" i="4" s="1"/>
  <c r="H16" i="3" s="1"/>
  <c r="I16" i="4"/>
  <c r="I31" i="9" s="1"/>
  <c r="I50" i="9" s="1"/>
  <c r="I8" i="7"/>
  <c r="I24" i="8" s="1"/>
  <c r="I37" i="4" s="1"/>
  <c r="I27" i="3"/>
  <c r="I26" i="3"/>
  <c r="I40" i="9"/>
  <c r="I34" i="9"/>
  <c r="E7" i="3"/>
  <c r="E19" i="7"/>
  <c r="E9" i="8"/>
  <c r="E7" i="4" s="1"/>
  <c r="E10" i="4" s="1"/>
  <c r="F14" i="8"/>
  <c r="F8" i="3" s="1"/>
  <c r="I32" i="6"/>
  <c r="I13" i="8" s="1"/>
  <c r="I22" i="3" s="1"/>
  <c r="H13" i="8"/>
  <c r="H22" i="3" s="1"/>
  <c r="G23" i="3"/>
  <c r="I30" i="6"/>
  <c r="I7" i="8" s="1"/>
  <c r="I21" i="3" s="1"/>
  <c r="H7" i="8"/>
  <c r="H21" i="3" s="1"/>
  <c r="G14" i="3"/>
  <c r="I25" i="6"/>
  <c r="I32" i="4" s="1"/>
  <c r="H32" i="4"/>
  <c r="H9" i="6"/>
  <c r="H12" i="7" s="1"/>
  <c r="H12" i="6"/>
  <c r="H15" i="7" s="1"/>
  <c r="I10" i="6"/>
  <c r="I13" i="7" s="1"/>
  <c r="I8" i="6"/>
  <c r="I11" i="7" s="1"/>
  <c r="I14" i="6"/>
  <c r="I17" i="7" s="1"/>
  <c r="I11" i="6"/>
  <c r="I14" i="7" s="1"/>
  <c r="I13" i="6"/>
  <c r="I16" i="7" s="1"/>
  <c r="H13" i="4"/>
  <c r="H31" i="9" l="1"/>
  <c r="H50" i="9" s="1"/>
  <c r="E32" i="7"/>
  <c r="D33" i="12" s="1"/>
  <c r="G33" i="12" s="1"/>
  <c r="D20" i="12"/>
  <c r="G20" i="12" s="1"/>
  <c r="G45" i="9"/>
  <c r="G11" i="9"/>
  <c r="H45" i="6"/>
  <c r="H8" i="9" s="1"/>
  <c r="H9" i="9" s="1"/>
  <c r="H33" i="4" s="1"/>
  <c r="H35" i="4" s="1"/>
  <c r="G33" i="4"/>
  <c r="G30" i="3" s="1"/>
  <c r="I32" i="8"/>
  <c r="H32" i="8"/>
  <c r="I16" i="3"/>
  <c r="H10" i="3"/>
  <c r="H27" i="8"/>
  <c r="I33" i="9"/>
  <c r="I13" i="3"/>
  <c r="I9" i="7"/>
  <c r="I18" i="8"/>
  <c r="H33" i="9"/>
  <c r="F6" i="8"/>
  <c r="F8" i="8" s="1"/>
  <c r="I23" i="3"/>
  <c r="F15" i="8"/>
  <c r="F8" i="4" s="1"/>
  <c r="G12" i="8" s="1"/>
  <c r="G14" i="8" s="1"/>
  <c r="G8" i="3" s="1"/>
  <c r="H23" i="3"/>
  <c r="I9" i="6"/>
  <c r="I12" i="7" s="1"/>
  <c r="H14" i="3"/>
  <c r="I14" i="3"/>
  <c r="I12" i="6"/>
  <c r="I15" i="7" s="1"/>
  <c r="I11" i="3"/>
  <c r="H11" i="3"/>
  <c r="G35" i="4" l="1"/>
  <c r="G43" i="8"/>
  <c r="I6" i="9"/>
  <c r="H45" i="9"/>
  <c r="H11" i="9"/>
  <c r="H30" i="3"/>
  <c r="H43" i="8"/>
  <c r="I45" i="6"/>
  <c r="I8" i="9" s="1"/>
  <c r="F18" i="7"/>
  <c r="I12" i="4"/>
  <c r="I27" i="8"/>
  <c r="G15" i="8"/>
  <c r="G8" i="4" s="1"/>
  <c r="H12" i="8" s="1"/>
  <c r="F7" i="3"/>
  <c r="F9" i="8"/>
  <c r="I9" i="9" l="1"/>
  <c r="I11" i="9" s="1"/>
  <c r="F19" i="7"/>
  <c r="F32" i="7" s="1"/>
  <c r="I10" i="3"/>
  <c r="I10" i="1"/>
  <c r="G6" i="8"/>
  <c r="F7" i="4"/>
  <c r="F10" i="4" s="1"/>
  <c r="H14" i="8"/>
  <c r="H8" i="3" s="1"/>
  <c r="I33" i="4" l="1"/>
  <c r="I35" i="4" s="1"/>
  <c r="I45" i="9"/>
  <c r="H15" i="8"/>
  <c r="H8" i="4" s="1"/>
  <c r="I12" i="8" s="1"/>
  <c r="I14" i="8" s="1"/>
  <c r="I8" i="3" s="1"/>
  <c r="G8" i="8"/>
  <c r="G9" i="8" s="1"/>
  <c r="I30" i="3" l="1"/>
  <c r="I43" i="8"/>
  <c r="G18" i="7"/>
  <c r="G19" i="7" s="1"/>
  <c r="G32" i="7" s="1"/>
  <c r="G7" i="4"/>
  <c r="G10" i="4" s="1"/>
  <c r="H6" i="8"/>
  <c r="G7" i="3"/>
  <c r="I15" i="8"/>
  <c r="I8" i="4" s="1"/>
  <c r="H8" i="8" l="1"/>
  <c r="H18" i="7" l="1"/>
  <c r="H19" i="7" s="1"/>
  <c r="H32" i="7" s="1"/>
  <c r="H7" i="3"/>
  <c r="H9" i="8"/>
  <c r="H7" i="4" l="1"/>
  <c r="H10" i="4" s="1"/>
  <c r="I6" i="8"/>
  <c r="I8" i="8" l="1"/>
  <c r="I18" i="7" l="1"/>
  <c r="I19" i="7" s="1"/>
  <c r="I9" i="8"/>
  <c r="I7" i="4" s="1"/>
  <c r="I10" i="4" s="1"/>
  <c r="I7" i="3"/>
  <c r="I32" i="7" l="1"/>
  <c r="D40" i="8" l="1"/>
  <c r="D65" i="9" s="1"/>
  <c r="E37" i="8" l="1"/>
  <c r="D66" i="9"/>
  <c r="D60" i="9" s="1"/>
  <c r="E40" i="8"/>
  <c r="E29" i="4" s="1"/>
  <c r="D29" i="4"/>
  <c r="D29" i="3"/>
  <c r="E29" i="3" l="1"/>
  <c r="E65" i="9"/>
  <c r="F37" i="8"/>
  <c r="F40" i="8"/>
  <c r="F29" i="4" s="1"/>
  <c r="G37" i="8" l="1"/>
  <c r="G40" i="8" s="1"/>
  <c r="H37" i="8" s="1"/>
  <c r="F29" i="3"/>
  <c r="F65" i="9"/>
  <c r="F66" i="9" s="1"/>
  <c r="F60" i="9" s="1"/>
  <c r="E66" i="9"/>
  <c r="E60" i="9" s="1"/>
  <c r="G29" i="3" l="1"/>
  <c r="G65" i="9"/>
  <c r="G66" i="9" s="1"/>
  <c r="G60" i="9" s="1"/>
  <c r="G29" i="4"/>
  <c r="H40" i="8"/>
  <c r="H29" i="4" s="1"/>
  <c r="H29" i="3" l="1"/>
  <c r="H65" i="9"/>
  <c r="H66" i="9" s="1"/>
  <c r="H60" i="9" s="1"/>
  <c r="I37" i="8"/>
  <c r="I40" i="8" s="1"/>
  <c r="I65" i="9" s="1"/>
  <c r="I66" i="9" l="1"/>
  <c r="I60" i="9" s="1"/>
  <c r="I29" i="4"/>
  <c r="I29" i="3"/>
  <c r="D28" i="3" l="1"/>
  <c r="D32" i="3" s="1"/>
  <c r="H28" i="3"/>
  <c r="H32" i="3"/>
  <c r="E28" i="3"/>
  <c r="E32" i="3" s="1"/>
  <c r="I28" i="3"/>
  <c r="I32" i="3" s="1"/>
  <c r="G28" i="3"/>
  <c r="G32" i="3" s="1"/>
  <c r="F32" i="3"/>
  <c r="D15" i="4" l="1"/>
  <c r="E15" i="4"/>
  <c r="F15" i="4"/>
  <c r="G15" i="4"/>
  <c r="H15" i="4"/>
  <c r="I15" i="4"/>
  <c r="D17" i="4"/>
  <c r="E17" i="4"/>
  <c r="F17" i="4"/>
  <c r="G17" i="4"/>
  <c r="H17" i="4"/>
  <c r="I17" i="4"/>
  <c r="D19" i="4"/>
  <c r="E19" i="4"/>
  <c r="F19" i="4"/>
  <c r="G19" i="4"/>
  <c r="H19" i="4"/>
  <c r="I19" i="4"/>
  <c r="D26" i="4"/>
  <c r="E26" i="4"/>
  <c r="F26" i="4"/>
  <c r="G26" i="4"/>
  <c r="H26" i="4"/>
  <c r="I26" i="4"/>
  <c r="D27" i="4"/>
  <c r="E27" i="4"/>
  <c r="F27" i="4"/>
  <c r="G27" i="4"/>
  <c r="H27" i="4"/>
  <c r="I27" i="4"/>
  <c r="D30" i="4"/>
  <c r="E30" i="4"/>
  <c r="F30" i="4"/>
  <c r="G30" i="4"/>
  <c r="H30" i="4"/>
  <c r="I30" i="4"/>
  <c r="D39" i="4"/>
  <c r="E39" i="4"/>
  <c r="F39" i="4"/>
  <c r="G39" i="4"/>
  <c r="H39" i="4"/>
  <c r="I39" i="4"/>
  <c r="D41" i="4"/>
  <c r="E41" i="4"/>
  <c r="F41" i="4"/>
  <c r="G41" i="4"/>
  <c r="H41" i="4"/>
  <c r="I41" i="4"/>
  <c r="D43" i="4"/>
  <c r="E43" i="4"/>
  <c r="F43" i="4"/>
  <c r="G43" i="4"/>
  <c r="H43" i="4"/>
  <c r="I43" i="4"/>
  <c r="D45" i="4"/>
  <c r="E45" i="4"/>
  <c r="F45" i="4"/>
  <c r="G45" i="4"/>
  <c r="H45" i="4"/>
  <c r="I45" i="4"/>
  <c r="D6" i="3"/>
  <c r="E6" i="3"/>
  <c r="F6" i="3"/>
  <c r="G6" i="3"/>
  <c r="H6" i="3"/>
  <c r="I6" i="3"/>
  <c r="D18" i="3"/>
  <c r="E18" i="3"/>
  <c r="F18" i="3"/>
  <c r="G18" i="3"/>
  <c r="H18" i="3"/>
  <c r="I18" i="3"/>
  <c r="D34" i="3"/>
  <c r="E34" i="3"/>
  <c r="F34" i="3"/>
  <c r="G34" i="3"/>
  <c r="H34" i="3"/>
  <c r="I34" i="3"/>
  <c r="E38" i="3"/>
  <c r="F38" i="3"/>
  <c r="G38" i="3"/>
  <c r="H38" i="3"/>
  <c r="I38" i="3"/>
  <c r="D39" i="3"/>
  <c r="E39" i="3"/>
  <c r="F39" i="3"/>
  <c r="G39" i="3"/>
  <c r="H39" i="3"/>
  <c r="I39" i="3"/>
  <c r="D40" i="3"/>
  <c r="E40" i="3"/>
  <c r="F40" i="3"/>
  <c r="G40" i="3"/>
  <c r="H40" i="3"/>
  <c r="I40" i="3"/>
  <c r="D25" i="9"/>
  <c r="E25" i="9"/>
  <c r="F25" i="9"/>
  <c r="G25" i="9"/>
  <c r="H25" i="9"/>
  <c r="I25" i="9"/>
  <c r="D27" i="9"/>
  <c r="E27" i="9"/>
  <c r="F27" i="9"/>
  <c r="G27" i="9"/>
  <c r="H27" i="9"/>
  <c r="I27" i="9"/>
  <c r="D37" i="9"/>
  <c r="E37" i="9"/>
  <c r="F37" i="9"/>
  <c r="G37" i="9"/>
  <c r="H37" i="9"/>
  <c r="I37" i="9"/>
  <c r="D39" i="9"/>
  <c r="E39" i="9"/>
  <c r="F39" i="9"/>
  <c r="G39" i="9"/>
  <c r="H39" i="9"/>
  <c r="I39" i="9"/>
  <c r="D47" i="9"/>
  <c r="E47" i="9"/>
  <c r="F47" i="9"/>
  <c r="G47" i="9"/>
  <c r="H47" i="9"/>
  <c r="I47" i="9"/>
  <c r="D48" i="9"/>
  <c r="E48" i="9"/>
  <c r="F48" i="9"/>
  <c r="G48" i="9"/>
  <c r="H48" i="9"/>
  <c r="I48" i="9"/>
  <c r="D51" i="9"/>
  <c r="E51" i="9"/>
  <c r="F51" i="9"/>
  <c r="G51" i="9"/>
  <c r="H51" i="9"/>
  <c r="I51" i="9"/>
  <c r="D52" i="9"/>
  <c r="E52" i="9"/>
  <c r="F52" i="9"/>
  <c r="G52" i="9"/>
  <c r="H52" i="9"/>
  <c r="I52" i="9"/>
  <c r="D54" i="9"/>
  <c r="E54" i="9"/>
  <c r="F54" i="9"/>
  <c r="G54" i="9"/>
  <c r="H54" i="9"/>
  <c r="I54" i="9"/>
  <c r="D58" i="9"/>
  <c r="E58" i="9"/>
  <c r="F58" i="9"/>
  <c r="G58" i="9"/>
  <c r="H58" i="9"/>
  <c r="I58" i="9"/>
  <c r="D59" i="9"/>
  <c r="E59" i="9"/>
  <c r="F59" i="9"/>
  <c r="G59" i="9"/>
  <c r="H59" i="9"/>
  <c r="I59" i="9"/>
  <c r="D61" i="9"/>
  <c r="E61" i="9"/>
  <c r="F61" i="9"/>
  <c r="G61" i="9"/>
  <c r="H61" i="9"/>
  <c r="I61" i="9"/>
  <c r="D21" i="7"/>
  <c r="E21" i="7"/>
  <c r="F21" i="7"/>
  <c r="G21" i="7"/>
  <c r="H21" i="7"/>
  <c r="I21" i="7"/>
  <c r="D22" i="7"/>
  <c r="E22" i="7"/>
  <c r="F22" i="7"/>
  <c r="G22" i="7"/>
  <c r="H22" i="7"/>
  <c r="I22" i="7"/>
  <c r="D23" i="7"/>
  <c r="E23" i="7"/>
  <c r="F23" i="7"/>
  <c r="G23" i="7"/>
  <c r="H23" i="7"/>
  <c r="I23" i="7"/>
  <c r="D25" i="7"/>
  <c r="E25" i="7"/>
  <c r="F25" i="7"/>
  <c r="G25" i="7"/>
  <c r="H25" i="7"/>
  <c r="I25" i="7"/>
  <c r="D27" i="7"/>
  <c r="E27" i="7"/>
  <c r="F27" i="7"/>
  <c r="G27" i="7"/>
  <c r="H27" i="7"/>
  <c r="I27" i="7"/>
  <c r="D28" i="7"/>
  <c r="E28" i="7"/>
  <c r="F28" i="7"/>
  <c r="G28" i="7"/>
  <c r="H28" i="7"/>
  <c r="I28" i="7"/>
  <c r="D30" i="7"/>
  <c r="E30" i="7"/>
  <c r="F30" i="7"/>
  <c r="G30" i="7"/>
  <c r="H30" i="7"/>
  <c r="I30" i="7"/>
  <c r="D6" i="1"/>
  <c r="E6" i="1"/>
  <c r="F6" i="1"/>
  <c r="G6" i="1"/>
  <c r="H6" i="1"/>
  <c r="I6" i="1"/>
  <c r="D8" i="1"/>
  <c r="E8" i="1"/>
  <c r="F8" i="1"/>
  <c r="G8" i="1"/>
  <c r="H8" i="1"/>
  <c r="I8" i="1"/>
  <c r="D11" i="1"/>
  <c r="E11" i="1"/>
  <c r="F11" i="1"/>
  <c r="G11" i="1"/>
  <c r="H11" i="1"/>
  <c r="I11" i="1"/>
  <c r="D12" i="1"/>
  <c r="E12" i="1"/>
  <c r="F12" i="1"/>
  <c r="G12" i="1"/>
  <c r="H12" i="1"/>
  <c r="I12" i="1"/>
  <c r="D13" i="1"/>
  <c r="E13" i="1"/>
  <c r="F13" i="1"/>
  <c r="G13" i="1"/>
  <c r="H13" i="1"/>
  <c r="I13" i="1"/>
  <c r="D14" i="1"/>
  <c r="E14" i="1"/>
  <c r="F14" i="1"/>
  <c r="G14" i="1"/>
  <c r="H14" i="1"/>
  <c r="I14" i="1"/>
  <c r="E30" i="8"/>
  <c r="F30" i="8"/>
  <c r="G30" i="8"/>
  <c r="H30" i="8"/>
  <c r="I30" i="8"/>
  <c r="D31" i="8"/>
  <c r="E31" i="8"/>
  <c r="F31" i="8"/>
  <c r="G31" i="8"/>
  <c r="H31" i="8"/>
  <c r="I31" i="8"/>
  <c r="D33" i="8"/>
  <c r="E33" i="8"/>
  <c r="F33" i="8"/>
  <c r="G33" i="8"/>
  <c r="H33" i="8"/>
  <c r="I33" i="8"/>
  <c r="D42" i="8"/>
  <c r="E42" i="8"/>
  <c r="F42" i="8"/>
  <c r="G42" i="8"/>
  <c r="H42" i="8"/>
  <c r="I42" i="8"/>
  <c r="D22" i="12"/>
  <c r="G22" i="12"/>
  <c r="D23" i="12"/>
  <c r="G23" i="12"/>
  <c r="D24" i="12"/>
  <c r="G24" i="12"/>
  <c r="D26" i="12"/>
  <c r="G26" i="12"/>
  <c r="D28" i="12"/>
  <c r="G28" i="12"/>
  <c r="D29" i="12"/>
  <c r="G29" i="12"/>
  <c r="D31" i="12"/>
  <c r="G31" i="12"/>
  <c r="D35"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Benedikt Zoller</author>
  </authors>
  <commentList>
    <comment ref="B7" authorId="0" shapeId="0" xr:uid="{E44CACAF-710D-1445-ADA6-BF456DC44CE0}">
      <text>
        <r>
          <rPr>
            <b/>
            <sz val="10"/>
            <color rgb="FF000000"/>
            <rFont val="Tahoma"/>
            <family val="2"/>
          </rPr>
          <t>Benedikt Zoller:</t>
        </r>
        <r>
          <rPr>
            <sz val="10"/>
            <color rgb="FF000000"/>
            <rFont val="Tahoma"/>
            <family val="2"/>
          </rPr>
          <t xml:space="preserve">
Zwischensumme 11019 verwendet, da Einzelpositionen (11001-11005) im agree-Export nicht aufgeschlüsselt</t>
        </r>
      </text>
    </comment>
    <comment ref="C7" authorId="0" shapeId="0" xr:uid="{BFBC20D2-C5E5-F14D-8644-B5755E89D96C}">
      <text>
        <r>
          <rPr>
            <b/>
            <sz val="10"/>
            <color rgb="FF000000"/>
            <rFont val="Tahoma"/>
            <family val="2"/>
          </rPr>
          <t>Benedikt Zoller:</t>
        </r>
        <r>
          <rPr>
            <sz val="10"/>
            <color rgb="FF000000"/>
            <rFont val="Tahoma"/>
            <family val="2"/>
          </rPr>
          <t xml:space="preserve">
Zwischensumme 11019 verwendet, da Einzelpositionen (11001-11005) im agree-Export nicht aufgeschlüsselt</t>
        </r>
      </text>
    </comment>
    <comment ref="B14" authorId="0" shapeId="0" xr:uid="{3F32793F-9577-E340-B4A8-4B6BB1B0F82E}">
      <text>
        <r>
          <rPr>
            <b/>
            <sz val="10"/>
            <color rgb="FF000000"/>
            <rFont val="Tahoma"/>
            <family val="2"/>
          </rPr>
          <t>Benedikt Zoller:</t>
        </r>
        <r>
          <rPr>
            <sz val="10"/>
            <color rgb="FF000000"/>
            <rFont val="Tahoma"/>
            <family val="2"/>
          </rPr>
          <t xml:space="preserve">
ARAP-Zwischensumme 11419 (Zeile 108) statt Einzelpos. 11401 (leer)</t>
        </r>
      </text>
    </comment>
    <comment ref="C14" authorId="0" shapeId="0" xr:uid="{C5FA1942-F32C-1A42-8B31-E004342614BE}">
      <text>
        <r>
          <rPr>
            <b/>
            <sz val="10"/>
            <color rgb="FF000000"/>
            <rFont val="Tahoma"/>
            <family val="2"/>
          </rPr>
          <t>Benedikt Zoller:</t>
        </r>
        <r>
          <rPr>
            <sz val="10"/>
            <color rgb="FF000000"/>
            <rFont val="Tahoma"/>
            <family val="2"/>
          </rPr>
          <t xml:space="preserve">
ARAP-Zwischensumme 11419 (Zeile 108) statt Einzelpos. 11401 (leer)</t>
        </r>
      </text>
    </comment>
    <comment ref="B24" authorId="0" shapeId="0" xr:uid="{760DE368-4439-8F40-8B93-622B1987D9CE}">
      <text>
        <r>
          <rPr>
            <b/>
            <sz val="10"/>
            <color rgb="FF000000"/>
            <rFont val="Tahoma"/>
            <family val="2"/>
          </rPr>
          <t>Benedikt Zoller:</t>
        </r>
        <r>
          <rPr>
            <sz val="10"/>
            <color rgb="FF000000"/>
            <rFont val="Tahoma"/>
            <family val="2"/>
          </rPr>
          <t xml:space="preserve">
Zwischensumme 12029 (Zeile 127) verwendet, da Einzelpositionen 12001-12012 im agree-Export leer</t>
        </r>
      </text>
    </comment>
    <comment ref="C24" authorId="0" shapeId="0" xr:uid="{81593534-F29C-9344-91BF-5EB9BD4545AE}">
      <text>
        <r>
          <rPr>
            <b/>
            <sz val="10"/>
            <color rgb="FF000000"/>
            <rFont val="Tahoma"/>
            <family val="2"/>
          </rPr>
          <t>Benedikt Zoller:</t>
        </r>
        <r>
          <rPr>
            <sz val="10"/>
            <color rgb="FF000000"/>
            <rFont val="Tahoma"/>
            <family val="2"/>
          </rPr>
          <t xml:space="preserve">
Zwischensumme 12029 (Zeile 127) verwendet, da Einzelpositionen 12001-12012 im agree-Export leer</t>
        </r>
      </text>
    </comment>
    <comment ref="B25" authorId="0" shapeId="0" xr:uid="{F96DCF62-D71C-3541-8709-875E43B68827}">
      <text>
        <r>
          <rPr>
            <b/>
            <sz val="10"/>
            <color rgb="FF000000"/>
            <rFont val="Tahoma"/>
            <family val="2"/>
          </rPr>
          <t>Benedikt Zoller:</t>
        </r>
        <r>
          <rPr>
            <sz val="10"/>
            <color rgb="FF000000"/>
            <rFont val="Tahoma"/>
            <family val="2"/>
          </rPr>
          <t xml:space="preserve">
Zwischensumme 12049 (Zeile 134) + 12054 (Zeile 135), da Einzelpos. 12031-12036 leer</t>
        </r>
      </text>
    </comment>
    <comment ref="C25" authorId="0" shapeId="0" xr:uid="{937DD4DE-FF03-C647-9B69-8EE6DFADBFD3}">
      <text>
        <r>
          <rPr>
            <b/>
            <sz val="10"/>
            <color rgb="FF000000"/>
            <rFont val="Tahoma"/>
            <family val="2"/>
          </rPr>
          <t>Benedikt Zoller:</t>
        </r>
        <r>
          <rPr>
            <sz val="10"/>
            <color rgb="FF000000"/>
            <rFont val="Tahoma"/>
            <family val="2"/>
          </rPr>
          <t xml:space="preserve">
Zwischensumme 12049 (Zeile 134) + 12054 (Zeile 135), da Einzelpos. 12031-12036 leer</t>
        </r>
      </text>
    </comment>
    <comment ref="B40" authorId="0" shapeId="0" xr:uid="{A3B72838-96DF-734F-AD8F-B5A0EEEFAF31}">
      <text>
        <r>
          <rPr>
            <b/>
            <sz val="10"/>
            <color rgb="FF000000"/>
            <rFont val="Tahoma"/>
            <family val="2"/>
          </rPr>
          <t>Benedikt Zoller:</t>
        </r>
        <r>
          <rPr>
            <sz val="10"/>
            <color rgb="FF000000"/>
            <rFont val="Tahoma"/>
            <family val="2"/>
          </rPr>
          <t xml:space="preserve">
12329 (kfr. Rückst. Zwischensumme, Zeile 191) statt Einzelpos. 12311/12312 (leer)</t>
        </r>
      </text>
    </comment>
    <comment ref="C40" authorId="0" shapeId="0" xr:uid="{95E2E66A-A405-8642-B3F8-5365DC1B0F47}">
      <text>
        <r>
          <rPr>
            <b/>
            <sz val="10"/>
            <color rgb="FF000000"/>
            <rFont val="Tahoma"/>
            <family val="2"/>
          </rPr>
          <t>Benedikt Zoller:</t>
        </r>
        <r>
          <rPr>
            <sz val="10"/>
            <color rgb="FF000000"/>
            <rFont val="Tahoma"/>
            <family val="2"/>
          </rPr>
          <t xml:space="preserve">
12329 (kfr. Rückst. Zwischensumme, Zeile 191) statt Einzelpos. 12311/12312 (leer)</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<sst xmlns="http://schemas.openxmlformats.org/spreadsheetml/2006/main" count="2405" uniqueCount="1383">
  <si>
    <t>Format</t>
  </si>
  <si>
    <t>Erklärung:</t>
  </si>
  <si>
    <t>Verlinkte Werte</t>
  </si>
  <si>
    <t>Direkteingaben, belegte Zahlenwerte, hard code</t>
  </si>
  <si>
    <t>Input, Eine Annahme</t>
  </si>
  <si>
    <t>(TEUR)</t>
  </si>
  <si>
    <t>Umsatzerlöse</t>
  </si>
  <si>
    <t>Bestandsveränderungen</t>
  </si>
  <si>
    <t>Materialaufwand</t>
  </si>
  <si>
    <t>Negativer Wert / Liqui-Abfluss</t>
  </si>
  <si>
    <t>Rohertrag (Gross Profit)</t>
  </si>
  <si>
    <t>Personalaufwand</t>
  </si>
  <si>
    <t>Raumkosten</t>
  </si>
  <si>
    <t>Versicherungen und Beiträge</t>
  </si>
  <si>
    <t>Reperatur und Instanthaltung</t>
  </si>
  <si>
    <t>Fahrzeugkosten</t>
  </si>
  <si>
    <t>Werbe- und Reisekosten</t>
  </si>
  <si>
    <t>Verschiedene betr. Kosten</t>
  </si>
  <si>
    <t>Abschreibungen</t>
  </si>
  <si>
    <t>Betriebsergebnis (EBIT)</t>
  </si>
  <si>
    <t>Zinseinnahmen</t>
  </si>
  <si>
    <t>Finanzergebnis</t>
  </si>
  <si>
    <t>Zinskosten</t>
  </si>
  <si>
    <t>Steuern</t>
  </si>
  <si>
    <t>Betriebsergebnis nach Steuern (Net income)</t>
  </si>
  <si>
    <t>Betriebsergebnis vor Steuer (EBT)</t>
  </si>
  <si>
    <t>EBITDA</t>
  </si>
  <si>
    <t>AKTIVA (assets)</t>
  </si>
  <si>
    <t>Immaterielle Vermögenswerte</t>
  </si>
  <si>
    <t>Sonstige Anlagegüter</t>
  </si>
  <si>
    <t>Anlagevermögen</t>
  </si>
  <si>
    <t>Vorräte</t>
  </si>
  <si>
    <t>Forderungen aus L+L</t>
  </si>
  <si>
    <t>Nicht notwendige Liquidität</t>
  </si>
  <si>
    <t>Kassenbestand / Kontoguthaben (cash)</t>
  </si>
  <si>
    <t>Umlaufvermögen</t>
  </si>
  <si>
    <t>Bilanzsumme</t>
  </si>
  <si>
    <t>PASSIVA</t>
  </si>
  <si>
    <t>Stammkapital / gez. Kapital</t>
  </si>
  <si>
    <t>Rücklagen</t>
  </si>
  <si>
    <t>Bilanzgewinn</t>
  </si>
  <si>
    <t>Eigenkapital</t>
  </si>
  <si>
    <t>Eigen- und eigenkapitalähnliches Kapital</t>
  </si>
  <si>
    <t>Pensionsrückstellungen</t>
  </si>
  <si>
    <t>Andere langfr. Verbindlichkeiten</t>
  </si>
  <si>
    <t xml:space="preserve">Langfristiges Fremdkapital </t>
  </si>
  <si>
    <t>Lieferantenverbindlichkeiten</t>
  </si>
  <si>
    <t>Kurzfristige Bankverbindlichkeiten</t>
  </si>
  <si>
    <t>Langfristige Bankverbindlichkeiten</t>
  </si>
  <si>
    <t>Revolver</t>
  </si>
  <si>
    <t>Andere kurzfr. Verbindlichkeiten</t>
  </si>
  <si>
    <t>Kurzfristiges Fremdkapital</t>
  </si>
  <si>
    <t>Check</t>
  </si>
  <si>
    <t>Annahmen zur GuV</t>
  </si>
  <si>
    <t>Gesamtleistung</t>
  </si>
  <si>
    <t>Personalaufwandsquote</t>
  </si>
  <si>
    <t>Steuerquote</t>
  </si>
  <si>
    <t>Annahmen zur Bilanz</t>
  </si>
  <si>
    <t>Sachanlagevermögen</t>
  </si>
  <si>
    <t>Sonstiges Umlaufvermögen</t>
  </si>
  <si>
    <t>Betriebsnotwendige Liquidität in % der Gesamtleistung</t>
  </si>
  <si>
    <t>Pensionsrückstellungen in % der Gesamtleistung</t>
  </si>
  <si>
    <t>Raumkosten, in % der Gesamtleistung</t>
  </si>
  <si>
    <t>Kosten für Versicherungen und Beiträge, in % der Gesamtleistung</t>
  </si>
  <si>
    <t>Kosten für Reperatur und Instanthaltung, in % der Gesamtleistung</t>
  </si>
  <si>
    <t>Fahrzeugkosten, in % der Gesamtleistung</t>
  </si>
  <si>
    <t>Werbe- und Reisekosten, in % der Gesamtleistung</t>
  </si>
  <si>
    <t>Verschiedene betr. Kosten, in % der Gesamtleistung</t>
  </si>
  <si>
    <t>Vergütung für stille Gesellschafter in % vom BE nach Steuern</t>
  </si>
  <si>
    <t>Andere kurzfristige Verbindlichkeiten</t>
  </si>
  <si>
    <t>Andere langfristige Verbindlichkeiten</t>
  </si>
  <si>
    <t>Weitere Annahmen</t>
  </si>
  <si>
    <t>Annahmen zur Finanzierungsstruktur</t>
  </si>
  <si>
    <t>Wachstum Gesamtleistung in %</t>
  </si>
  <si>
    <t>Materialaufwandsquote</t>
  </si>
  <si>
    <t>Anfangsbestand</t>
  </si>
  <si>
    <t>Endbestand</t>
  </si>
  <si>
    <t>Abschreibung</t>
  </si>
  <si>
    <t>Investitionen in imm. Vermögenswerte</t>
  </si>
  <si>
    <t>Investitionen ins Sachanlagevermögen</t>
  </si>
  <si>
    <t>Abschreibungsquote der immat. Vermögenswerte pro Jahr</t>
  </si>
  <si>
    <t>Investitionen in immat. Vermögenswerte in % der Gesamtleistung</t>
  </si>
  <si>
    <t>Investitionen in das Sachanlagevermögen in % der Gesamtleistung</t>
  </si>
  <si>
    <t>Tage pro Jahr</t>
  </si>
  <si>
    <t>Lagerdauer im Durchschnitt in Tage</t>
  </si>
  <si>
    <t>Forderungen aus Lieferung und Leistung</t>
  </si>
  <si>
    <t>Debitoren-Ziel</t>
  </si>
  <si>
    <t>Debitorenziel</t>
  </si>
  <si>
    <t>Kreditorenziel</t>
  </si>
  <si>
    <t>Net Working Capital</t>
  </si>
  <si>
    <t>(Nicht) notwendige Liquidität</t>
  </si>
  <si>
    <t>Ausschüttungen / Privatentnahmen</t>
  </si>
  <si>
    <t>Überschuss für Thesaurierung und Ausschüttung</t>
  </si>
  <si>
    <t>Ausschüttungen / Privatentnahmen in % des Nettobetriebsergebnisses</t>
  </si>
  <si>
    <t>Tilgungen</t>
  </si>
  <si>
    <t>Erhöhungen</t>
  </si>
  <si>
    <t>Neuaufnahme</t>
  </si>
  <si>
    <t>Aufnahme von langfr. Bankverbindlichkeiten</t>
  </si>
  <si>
    <t>Vorgesehene Rückzahlzahlungen von langfr. Bankverbindlichkeiten</t>
  </si>
  <si>
    <t>Durchschnittliche Verzinsung Bankverbindlichkeiten</t>
  </si>
  <si>
    <t>Durchschnitt. Verzinsung Bankverbindlichkeiten</t>
  </si>
  <si>
    <t>Rückzahlungen</t>
  </si>
  <si>
    <t xml:space="preserve">Zinsaufwand </t>
  </si>
  <si>
    <t>Zinsaufwand</t>
  </si>
  <si>
    <t>Durchschnittl. Verzinsung Bankverbindlichkeiten</t>
  </si>
  <si>
    <t>Aufnahme von kurzfr. Bankverbindlichkeiten</t>
  </si>
  <si>
    <t>Rückzahlungen von kurzfr. Bankverbindlichkeiten</t>
  </si>
  <si>
    <t>Zinsaufwand für Revolver</t>
  </si>
  <si>
    <t>Zinssatz Revolver</t>
  </si>
  <si>
    <t>Zinssatz für Revolver</t>
  </si>
  <si>
    <t>Kassenbestand / Bankguthaben (cash)</t>
  </si>
  <si>
    <t>Zinsgutschrift für Guthaben</t>
  </si>
  <si>
    <t>Zinssatz für Guthaben</t>
  </si>
  <si>
    <t>Verzinsung der Liquidität</t>
  </si>
  <si>
    <t>Erträge der Liquidität</t>
  </si>
  <si>
    <t>Nettoverschuldung (debt and cash summery)</t>
  </si>
  <si>
    <t>Gesamte Bankverbindlichkeiten</t>
  </si>
  <si>
    <t>Gesamte Liquidität</t>
  </si>
  <si>
    <t>Kassenbestand und Bankguthaben</t>
  </si>
  <si>
    <t>Nettoverschuldung</t>
  </si>
  <si>
    <t>Netto Zinsergebnis</t>
  </si>
  <si>
    <t>Gesamte Zinseinkünfte</t>
  </si>
  <si>
    <t>Netto Zinsergebnissumme</t>
  </si>
  <si>
    <t>Abschreibungen auf immat. Vermögensg.</t>
  </si>
  <si>
    <t>Abschreibungen auf das Sachanlagevermögen</t>
  </si>
  <si>
    <t>Veränderungen im weiteren Anlagevermögen</t>
  </si>
  <si>
    <t>Bestandsveränderungen der Vorräte</t>
  </si>
  <si>
    <t>Bestandsveränderung der Kundenforderungen</t>
  </si>
  <si>
    <t>Bestandsveränderungen bei dem sonst. Umlaufvermögen</t>
  </si>
  <si>
    <t>Bestandsveränderungen bei den Cashbeständen</t>
  </si>
  <si>
    <t>Veränderungen beim gez. Kapital / Stammkapital</t>
  </si>
  <si>
    <t>Veränderungen bei den Rücklagen</t>
  </si>
  <si>
    <t>Ausschüttungen (Privatentnahmen)</t>
  </si>
  <si>
    <t>Veränderung bei den Pensionsrückstellungen</t>
  </si>
  <si>
    <t>Veränderungen bei den langfr. Bankverbindlichkeiten</t>
  </si>
  <si>
    <t>Veränderungen bei den weiteren langfr. Verbindlichkeiten</t>
  </si>
  <si>
    <t>Veränderungen bei den Lieferantenverbindlichkeiten</t>
  </si>
  <si>
    <t>Veränderungen bei den kurzfr. Bankverbindlichkeiten</t>
  </si>
  <si>
    <t>Veränderungen bei den anderen kurzfr. Verbindlichkeiten</t>
  </si>
  <si>
    <t>Summe Operating Cashflow</t>
  </si>
  <si>
    <t>Summe Investing Cashflow</t>
  </si>
  <si>
    <t>Summe Finanzing Cashflow</t>
  </si>
  <si>
    <t>1) Operating Cashflow</t>
  </si>
  <si>
    <t>2) Investing Cashflow</t>
  </si>
  <si>
    <t>3) Financing Cashflow</t>
  </si>
  <si>
    <t>Total Cashflow (Summe der einzelnen Positionen 1-3)</t>
  </si>
  <si>
    <t>Cash Summary</t>
  </si>
  <si>
    <t>Total Cashflow</t>
  </si>
  <si>
    <t>Ending Cash Balance</t>
  </si>
  <si>
    <t>Beginning Cash balance</t>
  </si>
  <si>
    <t>Circular Switch</t>
  </si>
  <si>
    <t>(1 = Kreislauf läuft, 0 = ausgesetzt) - Interation muss aktiviert sein!</t>
  </si>
  <si>
    <t>Erläuterungen zur Formatierung:</t>
  </si>
  <si>
    <t>Formatierung:</t>
  </si>
  <si>
    <t>Erstes Ausgangsjahr</t>
  </si>
  <si>
    <t>Eigenkapitalquote:</t>
  </si>
  <si>
    <t>0-25%</t>
  </si>
  <si>
    <t>&lt;50 Tage</t>
  </si>
  <si>
    <t>&gt;50 Tage</t>
  </si>
  <si>
    <t>-</t>
  </si>
  <si>
    <t>Liquidität ersten Grades</t>
  </si>
  <si>
    <t>Finanzmittel / kurz. Fremdkapital * 100</t>
  </si>
  <si>
    <t>VLLL / MA * Feld 5B (Tage eines Jahres)</t>
  </si>
  <si>
    <t>&gt;15%</t>
  </si>
  <si>
    <t>&lt;15%</t>
  </si>
  <si>
    <t>EBTDA-Marge</t>
  </si>
  <si>
    <t>EBTDA / Gesamtleistung * 100</t>
  </si>
  <si>
    <t>&gt;7%</t>
  </si>
  <si>
    <t>&lt;7%</t>
  </si>
  <si>
    <t>&gt;0</t>
  </si>
  <si>
    <t>&lt;0</t>
  </si>
  <si>
    <t>Umschlagshäufigkeit</t>
  </si>
  <si>
    <t>MA / Vorräte</t>
  </si>
  <si>
    <t>&gt;3</t>
  </si>
  <si>
    <t>&lt;3</t>
  </si>
  <si>
    <t>Fremdkapitalstruktur</t>
  </si>
  <si>
    <t>Kurzfr. FK / (langfr. FK + kurzfr. FK)</t>
  </si>
  <si>
    <t>&lt;5%</t>
  </si>
  <si>
    <t>&gt;5%</t>
  </si>
  <si>
    <t>Zinsdeckungsgrad</t>
  </si>
  <si>
    <t>EBT (BE vor EESt.)</t>
  </si>
  <si>
    <t>&gt;45 TEUR</t>
  </si>
  <si>
    <t>ecf / Zinskosten</t>
  </si>
  <si>
    <t>1 - 25</t>
  </si>
  <si>
    <t>Standardwerte</t>
  </si>
  <si>
    <t>&lt;0%</t>
  </si>
  <si>
    <t>Kurzfristige Bankverbindlichkeiten (inkl. Revolver)</t>
  </si>
  <si>
    <t>Ersatz- und Erweiterungsinvest. immat. Vermögensg.</t>
  </si>
  <si>
    <t>Ersatz- und Erweiterungsinvest. Sachanlagevermögen</t>
  </si>
  <si>
    <t>Bilanzgewinn (Verlust)</t>
  </si>
  <si>
    <t>Durchschnittliche Laufzeit von langfr. Fremdkapital in Jahren</t>
  </si>
  <si>
    <t>Empfehlung:</t>
  </si>
  <si>
    <t>Aufnahme langfristiges Kapital</t>
  </si>
  <si>
    <t>Aufnahme langfr. Fremdkapital</t>
  </si>
  <si>
    <t>Kommentar</t>
  </si>
  <si>
    <t>Anlagedeckungsgrad</t>
  </si>
  <si>
    <t>Betriebswirtschaftliche Kennzahlen</t>
  </si>
  <si>
    <t>Betriebswirtschaftliche Kennzahlen:</t>
  </si>
  <si>
    <t>Wie langfristig ist das AV finanziert?</t>
  </si>
  <si>
    <t>&gt;110%</t>
  </si>
  <si>
    <t>&lt;110%</t>
  </si>
  <si>
    <t>&lt;75</t>
  </si>
  <si>
    <t>Nachrangkapital</t>
  </si>
  <si>
    <t>Veränderungerungen Nachrangkapital</t>
  </si>
  <si>
    <t>Zinskosten Nachrangkapital</t>
  </si>
  <si>
    <t>Aufnahme von Nachrangkapital in EUR</t>
  </si>
  <si>
    <t>Vorgesehene Tilgung von Nachrangkapital in EUR</t>
  </si>
  <si>
    <t>Verzinsung von Nachrangkapital</t>
  </si>
  <si>
    <t>Zinssatz für Nachrangkapital</t>
  </si>
  <si>
    <t>Höhe von Nachrangkapital</t>
  </si>
  <si>
    <t>Zinskosten Fremdkapital</t>
  </si>
  <si>
    <t>Aufnahme Eigenkapital / Nachrangkapital</t>
  </si>
  <si>
    <t>Liquiditätsunterdeckung / Revolver</t>
  </si>
  <si>
    <t>"Wird Geld verdient"</t>
  </si>
  <si>
    <t>Abschreibungsquote des Sachanlagevermögens in %</t>
  </si>
  <si>
    <t>Erläuterungen</t>
  </si>
  <si>
    <t>Durchschnittswert der letzten 2 Jahresabschlüsse</t>
  </si>
  <si>
    <t>Ansteigende Zinssätze für Neukredite</t>
  </si>
  <si>
    <t>Analog 2023, keine Veränderungen geplant</t>
  </si>
  <si>
    <t>Konstantes Wachstum, jedoch weniger dynamisch</t>
  </si>
  <si>
    <t>Durch die neu erteilte BImSchG-Genehmigung können auf dem Betriebshof Materialen recycelt werden</t>
  </si>
  <si>
    <t>2024 wurde eine eigene Werkstatt auf dem Betriebsgelände eingerichtet</t>
  </si>
  <si>
    <t>Konstante Entwicklung auf Niveau der Vorjahre erwartet</t>
  </si>
  <si>
    <t>Annahme auf Basis der Vorjahre</t>
  </si>
  <si>
    <t>Anzahlungen werden künftig durchgesetzt</t>
  </si>
  <si>
    <t>Bereits in der Planung berücksichtigt</t>
  </si>
  <si>
    <t>Unfertige Leistungen in 2023, in der Planung nicht vorgesehen</t>
  </si>
  <si>
    <t>Inflationsangepasste Ausschüttung</t>
  </si>
  <si>
    <t>Grundsätzliche Annahme</t>
  </si>
  <si>
    <t>Analog Empfehlung</t>
  </si>
  <si>
    <t>Leitet sich durch die FK-Struktur ab</t>
  </si>
  <si>
    <t>Entlastung KK-Linie durch Bankdarlehen</t>
  </si>
  <si>
    <t>Zielwert auf 30 Tage angepasst, durch BAYBG finanziert</t>
  </si>
  <si>
    <t>Leichter Anstieg aufgrund höherem Personaleinsatz erwartet</t>
  </si>
  <si>
    <t>Abweichung</t>
  </si>
  <si>
    <t>Index</t>
  </si>
  <si>
    <t>BWA 11/2025</t>
  </si>
  <si>
    <t>Rechnungen und Bestandsverän. In Prüfung</t>
  </si>
  <si>
    <t>Effekte aus Betriebshof wirken deutlich</t>
  </si>
  <si>
    <t>Underperformer wurden bereits gekünd.</t>
  </si>
  <si>
    <t>Wechsel KfZ-Versicherungen in Arbeit -10 TEUR</t>
  </si>
  <si>
    <t>Kostenblock in Summe 100 TEUR zu hoch</t>
  </si>
  <si>
    <t>Wirkungen der Werkstatt wurden übersch.</t>
  </si>
  <si>
    <t>free cashflow</t>
  </si>
  <si>
    <t>Forecast: Kundennamen</t>
  </si>
  <si>
    <t>Stammdaten</t>
  </si>
  <si>
    <t>Kunden Bilanz-Auswertung Auswertungstyp Standard</t>
  </si>
  <si>
    <t>Personennummer:</t>
  </si>
  <si>
    <t>Abschlusszeitraum</t>
  </si>
  <si>
    <t>01.01.2024 - 31.12.2024</t>
  </si>
  <si>
    <t>Bilanzjahr</t>
  </si>
  <si>
    <t>Kunde:</t>
  </si>
  <si>
    <t>Bilanz-Art:</t>
  </si>
  <si>
    <t>HGB Handelsbilanz</t>
  </si>
  <si>
    <t>Datum der Erfassung:</t>
  </si>
  <si>
    <t>GuV-Art:</t>
  </si>
  <si>
    <t>Gesamtkostenverfahren</t>
  </si>
  <si>
    <t>Datum letzte Änderung:</t>
  </si>
  <si>
    <t>Strasse:</t>
  </si>
  <si>
    <t>Steuerberater:</t>
  </si>
  <si>
    <t>nicht vorhanden</t>
  </si>
  <si>
    <t>Konsolidierung:</t>
  </si>
  <si>
    <t>nicht konsolidiert</t>
  </si>
  <si>
    <t>Ort:</t>
  </si>
  <si>
    <t>Erstellung durch:</t>
  </si>
  <si>
    <t>Steuerberater/-bevollmächtigter</t>
  </si>
  <si>
    <t>Bilanztyp:</t>
  </si>
  <si>
    <t>Einzelbilanz</t>
  </si>
  <si>
    <t>Rechtsform:</t>
  </si>
  <si>
    <t>Branche:</t>
  </si>
  <si>
    <t>1412 Garten- und Landschaftsbau</t>
  </si>
  <si>
    <t>Status:</t>
  </si>
  <si>
    <t>Für Rating freigegeben</t>
  </si>
  <si>
    <t>Beträge in:</t>
  </si>
  <si>
    <t>T-EUR</t>
  </si>
  <si>
    <t>Herkunft:</t>
  </si>
  <si>
    <t>Einreichung Kunde</t>
  </si>
  <si>
    <t>Zeitraum-Typ:</t>
  </si>
  <si>
    <t>Ganzjährig</t>
  </si>
  <si>
    <t>Testatart:</t>
  </si>
  <si>
    <t>Erstellung ohne Beurteilungen</t>
  </si>
  <si>
    <t>Berater:</t>
  </si>
  <si>
    <t>Benedikt Zoller</t>
  </si>
  <si>
    <t>Größenklasse Bilanz:</t>
  </si>
  <si>
    <t>2.501 - 6.000 T-EUR</t>
  </si>
  <si>
    <t>Bezeichnung:</t>
  </si>
  <si>
    <t>Die Branchendaten wurden auf folgender Basis ermittelt:</t>
  </si>
  <si>
    <t>Branchenschlüssel:</t>
  </si>
  <si>
    <t>Branchendaten sind aus dem Jahr:</t>
  </si>
  <si>
    <t>Größenklasse:</t>
  </si>
  <si>
    <t>Verarbeitete Bilanzen:</t>
  </si>
  <si>
    <t>Kurzinformation</t>
  </si>
  <si>
    <t>Abw. Vorjahr</t>
  </si>
  <si>
    <t>Branche</t>
  </si>
  <si>
    <t>TEUR</t>
  </si>
  <si>
    <t>%</t>
  </si>
  <si>
    <t>Grundstücke und Gebäude</t>
  </si>
  <si>
    <t>Sachanlagen</t>
  </si>
  <si>
    <t>Finanzanlagen</t>
  </si>
  <si>
    <t xml:space="preserve">Anlagevermögen </t>
  </si>
  <si>
    <t>Erhaltene Anzahlungen (offen abgesetzt)</t>
  </si>
  <si>
    <t>davon Abschlagszahlungen</t>
  </si>
  <si>
    <t>Ford. a. LuL</t>
  </si>
  <si>
    <t>Finanzmittel</t>
  </si>
  <si>
    <t>UV-kfr. Vermögensgegenstände/-werte</t>
  </si>
  <si>
    <t>Bilanzsumme - bereinigt (AKTIVA)</t>
  </si>
  <si>
    <t>Ausgewiesenes Eigenkapital</t>
  </si>
  <si>
    <t>Wirtschaftliches Eigenkapital</t>
  </si>
  <si>
    <t>Verbindlichkeiten gegenüber Kreditinstituten</t>
  </si>
  <si>
    <t>Langfristiges Fremdkapital</t>
  </si>
  <si>
    <t>Verb. ggü. KI bis 1 Jahr</t>
  </si>
  <si>
    <t>Verb. a. LuL b. 1J</t>
  </si>
  <si>
    <t xml:space="preserve">Gesamtleistung </t>
  </si>
  <si>
    <t>Rohergebnis</t>
  </si>
  <si>
    <t>Betriebsergebnis - Brutto</t>
  </si>
  <si>
    <t>Jahresergebnis nach Steuern</t>
  </si>
  <si>
    <t>(Nachhaltige) Zinsaufwendungen</t>
  </si>
  <si>
    <t>(Nachhaltige) Tilgung von Finanzschulden</t>
  </si>
  <si>
    <t>Eigenmitteleinsatz für Ersatzinvestitionen in % der Abschreibungen</t>
  </si>
  <si>
    <t>Bemerkungen</t>
  </si>
  <si>
    <t>Bemerkung zur Bilanz</t>
  </si>
  <si>
    <t>Aktiva</t>
  </si>
  <si>
    <t>Abw. Branche</t>
  </si>
  <si>
    <t xml:space="preserve">Selbst gesch. Schutz- u. ähnl. Rechte und Werte/ Entwicklungskost. </t>
  </si>
  <si>
    <t xml:space="preserve">Entg. erworb. Konz., gew. Schutz- u. ähnl. Rechte u. Werte sowie Lizenzen </t>
  </si>
  <si>
    <t xml:space="preserve">Geschäfts- oder Firmenwert </t>
  </si>
  <si>
    <t>Gel. Anz. a. imm. Vermögensgegenstände/-werte</t>
  </si>
  <si>
    <t>Immaterielle Vermögensgegenstände/-werte</t>
  </si>
  <si>
    <t>Technische Anlagen und Maschinen</t>
  </si>
  <si>
    <t>And. Anlagen und BGA</t>
  </si>
  <si>
    <t>Gel. Anz. u. Anl. im Bau</t>
  </si>
  <si>
    <t>Imm. Vermögensg./-werte, Sachanl., Nutzungsrechte Sachanl. u. imm. Verm. a. Leasingverh., als Finanzinvest. geh. Immob., Biol. Verm.werte, Tiervermögen</t>
  </si>
  <si>
    <t>At-Equity-Beteiligungen</t>
  </si>
  <si>
    <t>Anteile an verbundenen Unternehmen (AV)</t>
  </si>
  <si>
    <t>Ausl. an verb. Unt. (AV)</t>
  </si>
  <si>
    <t>Anteile an Beteiligungsunternehmen</t>
  </si>
  <si>
    <t>Ausleihungen an Beteiligungsunternehmen</t>
  </si>
  <si>
    <t>At-Equity-Bet., Ant. u. Ausl. a. Verb.- und Beteiligungsuntern.</t>
  </si>
  <si>
    <t>Wertpapiere des Anlagevermögens, Genossenschaftsanteile</t>
  </si>
  <si>
    <t>Sonstige Ausleihungen</t>
  </si>
  <si>
    <t xml:space="preserve">Sonstige Finanzanlagen </t>
  </si>
  <si>
    <t>Roh-, Hilfs- und Betriebsstoffe</t>
  </si>
  <si>
    <t>Unfertige Erzeugnisse, unfertige Leistungen</t>
  </si>
  <si>
    <t>Fertige Erzeugnisse</t>
  </si>
  <si>
    <t>Waren</t>
  </si>
  <si>
    <t>Geleistete Anzahlungen</t>
  </si>
  <si>
    <t xml:space="preserve">Ford. ggü. verb. Unt. </t>
  </si>
  <si>
    <t>Ford. ggü. Beteiligungsuntern.</t>
  </si>
  <si>
    <t>Ausst. Einl., eingef., aber n. n. eingez.</t>
  </si>
  <si>
    <t>Forderungen gegenüber Gesellschaftern</t>
  </si>
  <si>
    <t>Sonstige Vermögensgegenstände/-werte</t>
  </si>
  <si>
    <t>Ford. u. sonst. Vermögensg./werte</t>
  </si>
  <si>
    <t>Anteile an verbundenen Unternehmen (UV)</t>
  </si>
  <si>
    <t>Tatsächliche Steuerforderungen</t>
  </si>
  <si>
    <t>Sonstige Wertpapiere des UV</t>
  </si>
  <si>
    <t xml:space="preserve">Sonstiges Umlaufvermögen </t>
  </si>
  <si>
    <t>Scheck, Kasse, Bankguthaben</t>
  </si>
  <si>
    <t>Liquide Wertpapiere</t>
  </si>
  <si>
    <t>INFO: ggü. eigenem Institut</t>
  </si>
  <si>
    <t>Aktivische Rechnungsabgrenzungsposten</t>
  </si>
  <si>
    <t>davon Disagio</t>
  </si>
  <si>
    <t>Summe ARAP</t>
  </si>
  <si>
    <t>Aktive latente Steuern (HGB)</t>
  </si>
  <si>
    <t>Summe Aktive latente Steuern (HGB)</t>
  </si>
  <si>
    <t>Akt. Unterschiedsbetr. a.d. Verm.Verr.</t>
  </si>
  <si>
    <t>Summe Akt. Unterschiedsbetr. a.d. Verm.Verr.</t>
  </si>
  <si>
    <t>Negatives wirtschaftliches Eigenkapital</t>
  </si>
  <si>
    <t>Passiva</t>
  </si>
  <si>
    <t>Gezeichnetes Kapital (vor offener Absetzung)</t>
  </si>
  <si>
    <t>eigene Anteile</t>
  </si>
  <si>
    <t>Nicht eingeforderte ausstehende Einlagen</t>
  </si>
  <si>
    <t>Gezeichnetes Kapital</t>
  </si>
  <si>
    <t>Kapitaleinl. pers. haft. Gesellsch.</t>
  </si>
  <si>
    <t>Kapitaleinl. nicht pers. haft. Gesellsch.</t>
  </si>
  <si>
    <t>Einl., gez. bzw. eingef. Kapital</t>
  </si>
  <si>
    <t>Kapitalrücklage</t>
  </si>
  <si>
    <t>Gesetzliche Rücklage</t>
  </si>
  <si>
    <t>Rückl. f. Ant. a.e. herrschenden o. mehrheitl. bet. Unt.</t>
  </si>
  <si>
    <t>Satzungsmäßige Rücklagen</t>
  </si>
  <si>
    <t>Andere Gewinnrücklagen</t>
  </si>
  <si>
    <t>Unterschiedsbetrag aus der Kapitalkonsolidierung (Rücklagencharakter)</t>
  </si>
  <si>
    <t>Offene Rücklagen</t>
  </si>
  <si>
    <t>Untersch. a.d. Währungsumrechn.</t>
  </si>
  <si>
    <t>Erfolgsneutr. Bestandteil d. EK</t>
  </si>
  <si>
    <t>Gewinnvortrag</t>
  </si>
  <si>
    <t>Verlustvortrag</t>
  </si>
  <si>
    <t>Jahresüberschuss</t>
  </si>
  <si>
    <t>Jahresfehlbetrag</t>
  </si>
  <si>
    <t>Bilanzverlust</t>
  </si>
  <si>
    <t>Anteile anderer Gesellschafter</t>
  </si>
  <si>
    <t>Ertrag aufgrund höherer Bewertung</t>
  </si>
  <si>
    <t>Selbst gesch. Schutz- u. ähnl. Rechte und Werte/Entwicklungskost.</t>
  </si>
  <si>
    <t>Konz., gew. Schutz- u. ähnl. Rechte u. Werte sowie Lizenzen an solchen Rechten</t>
  </si>
  <si>
    <t>Geschäfts- oder Firmenwert</t>
  </si>
  <si>
    <t>Ausst. Einl., eingef., a. n. n. eingez.</t>
  </si>
  <si>
    <t>Aktive latente Steuern</t>
  </si>
  <si>
    <t xml:space="preserve">Nicht d. Vermögenseinl. ged. Verlustant. pers. haft. Gesellsch. </t>
  </si>
  <si>
    <t>Nicht d. Vermögenseinl. ged. Verlustant. nicht pers. haft. Gesellsch.</t>
  </si>
  <si>
    <t>Disagio</t>
  </si>
  <si>
    <t>Nicht dotierte Pensionsrückstellungen</t>
  </si>
  <si>
    <t>Aufw. f. Ingangsetz. u. Erw. d. Geschäftsbetr.</t>
  </si>
  <si>
    <t>Sonstige eigenkapitalmindernde Posten</t>
  </si>
  <si>
    <t>Eigenkapitalmindernde Posten</t>
  </si>
  <si>
    <t>Gesellschafterdarlehen</t>
  </si>
  <si>
    <t>SOPO mit Rücklagenanteil</t>
  </si>
  <si>
    <t>Sonstige Einlagen von Gesellschaftern</t>
  </si>
  <si>
    <t>Mezzanin-Kapital mit eigenkapitalähnlichen Qualifizierungsmerkmalen</t>
  </si>
  <si>
    <t>Sonstige eigenkapitalähnliche Posten</t>
  </si>
  <si>
    <t>Eigenkapitalähnliche Posten</t>
  </si>
  <si>
    <t>Rückst. f. Pens. u.ä. Verpfl.</t>
  </si>
  <si>
    <t>Sonstige langfristige Rückstellungen</t>
  </si>
  <si>
    <t>Rückstellungen für Gewährl.(langfr. Anteil)</t>
  </si>
  <si>
    <t xml:space="preserve">Langfristige Rückstellungen </t>
  </si>
  <si>
    <t>Anleihen</t>
  </si>
  <si>
    <t>davon gegenüber eigenem</t>
  </si>
  <si>
    <t>Verb. a. Leasingverhältnissen</t>
  </si>
  <si>
    <t>Finanzschulden ggü. verb. Unt.</t>
  </si>
  <si>
    <t>Finanzschulden ggü. Beteiligungsunt.</t>
  </si>
  <si>
    <t>Finanzschulden ggü. Gesellsch. &gt; 1J.</t>
  </si>
  <si>
    <t>Sonstige langfristige Finanzschulden</t>
  </si>
  <si>
    <t xml:space="preserve">Langfristige Finanzschulden - zinstragend </t>
  </si>
  <si>
    <t>SOPO m. Rücklageant. (Ertragsteuerant.)</t>
  </si>
  <si>
    <t>Verb. ggü. verb. Unt.</t>
  </si>
  <si>
    <t>Verb. ggü. Beteiligungsunt.</t>
  </si>
  <si>
    <t>Verb. ggü. Gesellsch. &gt;1J</t>
  </si>
  <si>
    <t>Erh. Anzahl. (vertragl. Verb.) &gt; 1 J</t>
  </si>
  <si>
    <t>Verb. a. LuL</t>
  </si>
  <si>
    <t>Sonstige langfristige Verbindlichkeiten</t>
  </si>
  <si>
    <t>Lfr. Verb. - nicht zinstragend</t>
  </si>
  <si>
    <t>Langfristiges Kapital</t>
  </si>
  <si>
    <t>Sonstige kurzfristige Rückstellungen</t>
  </si>
  <si>
    <t>Rückstellungen für Gewährl. (kurzfr. Anteil)</t>
  </si>
  <si>
    <t>Kurzfristige Rückstellungen</t>
  </si>
  <si>
    <t>Steuerrückstellungen</t>
  </si>
  <si>
    <t>Steuerverbindlichkeiten</t>
  </si>
  <si>
    <t>Steuerschulden</t>
  </si>
  <si>
    <t>Anleihen bis 1 Jahr</t>
  </si>
  <si>
    <t>Verb. a. Leasingverh. b. 1J</t>
  </si>
  <si>
    <t>Finanzschulden ggü. verb. Unt. b. 1J</t>
  </si>
  <si>
    <t>Finanzschulden ggü. Bet.-Unt. b. 1J</t>
  </si>
  <si>
    <t>Finanzschulden ggü. Gesellsch. b. 1J</t>
  </si>
  <si>
    <t>Sonstige kurzfristige Finanzschulden</t>
  </si>
  <si>
    <t>davon Verrechnungskonten über Gewinn- / Verlustanteile / Privatentnahmen</t>
  </si>
  <si>
    <t>Kurzfristige Finanzschulden - zinstragend</t>
  </si>
  <si>
    <t>Wechselverbindlichkeiten</t>
  </si>
  <si>
    <t>Verb. ggü. verb. Unt. b. 1J</t>
  </si>
  <si>
    <t>Verb. ggü. Beteiligungsunt. b. 1J</t>
  </si>
  <si>
    <t>Erh. Anzahl. (vertragl. Verb.) b. 1J</t>
  </si>
  <si>
    <t>Verb. ggü. Gesellsch. b. 1J</t>
  </si>
  <si>
    <t>Sonstige kurzfristige Verbindlichkeiten</t>
  </si>
  <si>
    <t>Geplante Gewinnausschüttung</t>
  </si>
  <si>
    <t>Kfr. Verb. – nicht zinstragend</t>
  </si>
  <si>
    <t>Passivische Rechnungsabgrenzungsposten</t>
  </si>
  <si>
    <t>Summe PRAP</t>
  </si>
  <si>
    <t>Passive latente Steuern (HGB)</t>
  </si>
  <si>
    <t>Summe Passive latente Steuern (HGB)</t>
  </si>
  <si>
    <t>Bilanzsumme - bereinigt (PASSIVA)</t>
  </si>
  <si>
    <t>Eventualverbindlichkeiten</t>
  </si>
  <si>
    <t>davon aus Wechseln</t>
  </si>
  <si>
    <t>davon aus Bürgschaften</t>
  </si>
  <si>
    <t>davon aus Gewährleistungsverträgen</t>
  </si>
  <si>
    <t>davon Haftungsverhältn. a. d. Best. v. Sicherh. f. fremde Verb.</t>
  </si>
  <si>
    <t>davon mit dem Konzern verbundene Gesellschaften (nicht konsolidiert)</t>
  </si>
  <si>
    <t>davon Treuhandverbindlichkeiten</t>
  </si>
  <si>
    <t>Gesicherte Beträge</t>
  </si>
  <si>
    <t>G+V</t>
  </si>
  <si>
    <t>davon Kassenabrechnung</t>
  </si>
  <si>
    <t>davon Privatliquidation</t>
  </si>
  <si>
    <t>Summe Umsatzerlöse</t>
  </si>
  <si>
    <t>Aktivierte Eigenleistungen</t>
  </si>
  <si>
    <t>davon a. selbst erst. imm. Vermögensg.-/werten</t>
  </si>
  <si>
    <t>Auf. f. RHB u. f. bez. Waren</t>
  </si>
  <si>
    <t>Aufwendungen für bezogene Leistungen</t>
  </si>
  <si>
    <t>betriebswirtschaftliches Rohergebnis</t>
  </si>
  <si>
    <t xml:space="preserve">Buchgewinne aus Anlagenabgang </t>
  </si>
  <si>
    <t xml:space="preserve">Erträge aus Zuschreibungen </t>
  </si>
  <si>
    <t>Ertr. a.d. Auflös. v. Rückstell.</t>
  </si>
  <si>
    <t>Ertr. a.d. Auflös. v. SOPO m. Rücklageant.</t>
  </si>
  <si>
    <t>Ertr. a. Vermiet. u. Verpacht. (regelm.)</t>
  </si>
  <si>
    <t>Sonstige betriebliche Erträge</t>
  </si>
  <si>
    <t>And. sonst. betr. Ertr. (unregelm.)</t>
  </si>
  <si>
    <t xml:space="preserve">Summe sonstige betriebliche Erträge </t>
  </si>
  <si>
    <t>Löhne und Gehälter</t>
  </si>
  <si>
    <t>Soziale Abgaben</t>
  </si>
  <si>
    <t>Sonstiger Personalaufwand</t>
  </si>
  <si>
    <t>Aufwendungen für Altersversorgung</t>
  </si>
  <si>
    <t>Planm. Abschr. a. Sachanl.</t>
  </si>
  <si>
    <t>Planm. Abschr. a. imm. Vermögensg./-werte (ohne Geschäfts- oder Firmenwert)</t>
  </si>
  <si>
    <t>Planm. Abschr. a. Geschäfts- oder Firmenwert</t>
  </si>
  <si>
    <t>Planm. Abschr. a. Sachanl. u. imm. Vermögensg./-werte sowie a. Nutzungsr. a. Leasingverh.</t>
  </si>
  <si>
    <t>Buchverluste aus Anlagenabgang</t>
  </si>
  <si>
    <t>Aufw. a. d. Zuf. v. Rückstell.</t>
  </si>
  <si>
    <t>Sonstige betriebliche Aufwendungen</t>
  </si>
  <si>
    <t>davon Aufwendungen für Immobilien (Miete, Pacht, Leasing)</t>
  </si>
  <si>
    <t>davon Aufwendungen für Mobilien (Miete, Pacht, Leasing)</t>
  </si>
  <si>
    <t>davon Versicherungen und Beiträge</t>
  </si>
  <si>
    <t>davon besondere Kosten</t>
  </si>
  <si>
    <t>davon KfZ-Kosten</t>
  </si>
  <si>
    <t>davon Aufwendungen für Werbung</t>
  </si>
  <si>
    <t>davon Kosten der Warenabgabe</t>
  </si>
  <si>
    <t>davon Instandhaltungsaufwendungen</t>
  </si>
  <si>
    <t>davon sonstige Kosten</t>
  </si>
  <si>
    <t>davon aus Rückstellungszuführung (regelmäßig betriebsbedingt)</t>
  </si>
  <si>
    <t>Forschungs- und Entwicklungskosten</t>
  </si>
  <si>
    <t>Sonstige Steuern</t>
  </si>
  <si>
    <t>Sonst. betr. Aufw., FuE u. sonst. Steuern</t>
  </si>
  <si>
    <t>Sonstige Zinsen und ähnliche Erträge</t>
  </si>
  <si>
    <t>davon aus verbundenen Unternehmen</t>
  </si>
  <si>
    <t>Zinsen und ähnliche Aufwendungen</t>
  </si>
  <si>
    <t>davon an verbundene Unternehmen</t>
  </si>
  <si>
    <t>Zinsaufwand für Gesellschafterdarlehen</t>
  </si>
  <si>
    <t>Zinsergebnis</t>
  </si>
  <si>
    <t>Betriebsergebnis nach Zinsen</t>
  </si>
  <si>
    <t>Erträge aus Beteiligungen</t>
  </si>
  <si>
    <t>Ertr. a. and. WP u. Ausl. d. Finanz-AV</t>
  </si>
  <si>
    <t>Ergebn. a. at equity bew. Unt.</t>
  </si>
  <si>
    <t>Erträge aus Finanzanlagen</t>
  </si>
  <si>
    <t>Ertr. a. Gewinngemeinsch., Gew.- und Teilgewinnabführungsverträgen (Mutter)</t>
  </si>
  <si>
    <t>Aufw. a. Verlustübernahmevertr. (Mutter)</t>
  </si>
  <si>
    <t>Ertr. u. Aufw. a. Unternehmensvertr. (Mutter)</t>
  </si>
  <si>
    <t>Beteiligungsergebnis</t>
  </si>
  <si>
    <t>Finanzergebnis (Zinsergebnis + Beteiligungsergebnis)</t>
  </si>
  <si>
    <t>Betr.Ergeb. v. EESt</t>
  </si>
  <si>
    <t>Buchgew. a. Anlagenabg. (unregelm.)</t>
  </si>
  <si>
    <t>Erträge aus Zuschreibungen (unregelmäßig)</t>
  </si>
  <si>
    <t>Erträge aus Höherbewertungen von Nicht-Finanzinstrumenten (unregelmäßig)</t>
  </si>
  <si>
    <t>Ertr. a. d. Aufl. v. Rückst. (unregelm.)</t>
  </si>
  <si>
    <t>Ertr. a. Vermiet. u. Verpacht. (unregelm.)</t>
  </si>
  <si>
    <t>Andere unregelmäßige Erträge</t>
  </si>
  <si>
    <t>Erträge aus abgeschriebenen Forderungen</t>
  </si>
  <si>
    <t>Unregelmäßige Erträge</t>
  </si>
  <si>
    <t>Buchverluste a. Anlagenabg. (unregelm.)</t>
  </si>
  <si>
    <t>Aufw. a.d. Zuf. v. Rückst. (unregelm.)</t>
  </si>
  <si>
    <t>Planm. Abschr. a. Geschäfts- oder Firmenwert (bei EK-minderndem Ansatz)</t>
  </si>
  <si>
    <t>Abschr. a. imm. Vermögensg./-werte (außer Goodwill b. EK-minderndem Ansatz)</t>
  </si>
  <si>
    <t>Andere unregelmäßige Aufwendungen</t>
  </si>
  <si>
    <t>Außerordentliche Aufwendungen (Agrar/GK/FB)</t>
  </si>
  <si>
    <t>Unregelmäßige Aufwendungen</t>
  </si>
  <si>
    <t>Aufw. a. Einst. in SOPO m. Rücklageant.</t>
  </si>
  <si>
    <t>Ertr. a. d. Aufl. v. SOPO m. Rücklageant.</t>
  </si>
  <si>
    <t>Ergebn. SOPO m. Rücklageant.</t>
  </si>
  <si>
    <t>Außerplanm. Abschr. a. imm. Vermögensg./-werte (ohne Firmen- oder Geschäftswert)</t>
  </si>
  <si>
    <t>Außerplanm. Abschr. a. Gesch.- oder Firmenwert</t>
  </si>
  <si>
    <t>Außerplanm. Abschr. a. Sachanl.</t>
  </si>
  <si>
    <t>Außerplanm. Abschr. a. Finanzanl.</t>
  </si>
  <si>
    <t>davon auf Beteiligungen</t>
  </si>
  <si>
    <t>davon a. Ant. an verb. Unt.</t>
  </si>
  <si>
    <t>davon a. WP u. Ausl. d. AV</t>
  </si>
  <si>
    <t>Außerplanm. Abschr. a. Vermögensg./-werte d. UV</t>
  </si>
  <si>
    <t>Einstellung in die EWB, Forderungsverluste</t>
  </si>
  <si>
    <t>Außerplanmäßige Abschreibungen</t>
  </si>
  <si>
    <t>Unregelmäßiges Ergebnis</t>
  </si>
  <si>
    <t>Jahresergebnis vor Steuern</t>
  </si>
  <si>
    <t>Steuern vom Einkommen und Ertrag</t>
  </si>
  <si>
    <t>davon latenter Steueraufwand(+) / Steuerertrag (-)</t>
  </si>
  <si>
    <t>Erträge a. Verlustübernahmevertr. (Tochter)</t>
  </si>
  <si>
    <t>Aufw. a. Gewinnabführungsvertr. (Tochter)</t>
  </si>
  <si>
    <t xml:space="preserve">Jahresüberschuss/-fehlbetrag </t>
  </si>
  <si>
    <t>Ant. d. Minderheitsgesellsch. am Gew. (+) / Verl. (-)</t>
  </si>
  <si>
    <t>Vorgesehene Ausschüttung laut Jahresabschluss</t>
  </si>
  <si>
    <t>Gewinnvortr. (+) / Verlustvortr. (-) a.d. VJ</t>
  </si>
  <si>
    <t>Entnahmen aus Kapitalrücklage</t>
  </si>
  <si>
    <t>Entnahmen aus gesetzlicher Rücklage</t>
  </si>
  <si>
    <t>Entnahmen aus Rücklage für eigene Anteile</t>
  </si>
  <si>
    <t>Entn. a. satzungsm. Rückl.</t>
  </si>
  <si>
    <t>Entnahmen aus anderen Gewinnrücklagen</t>
  </si>
  <si>
    <t>Entnahmen aus Rücklagen anderer Gesellschafter</t>
  </si>
  <si>
    <t xml:space="preserve">Entnahmen aus Rücklagen </t>
  </si>
  <si>
    <t>Aufwand aus der Kapitalherabsetzung</t>
  </si>
  <si>
    <t>Ertrag aus der Kapitalherabsetzung</t>
  </si>
  <si>
    <t>Einstellungen in gesetzliche Rücklage</t>
  </si>
  <si>
    <t>Einstellungen in Rücklage für eigene Anteile</t>
  </si>
  <si>
    <t>Einst. in satzungsm. Rückl.</t>
  </si>
  <si>
    <t>Einstellungen in anderen Gewinnrücklagen</t>
  </si>
  <si>
    <t>Einst. in Rückl. and. Gesellsch.</t>
  </si>
  <si>
    <t>Einstellungen in Rücklagen</t>
  </si>
  <si>
    <t>Gewinnverwendung</t>
  </si>
  <si>
    <t>Bilanzgewinn/ -verlust</t>
  </si>
  <si>
    <t>Entwicklung</t>
  </si>
  <si>
    <t>Immaterielles Vermögen und Sachanlagen</t>
  </si>
  <si>
    <t>Bestand Vorjahresende</t>
  </si>
  <si>
    <t>Berichtigung Anfangsbestand</t>
  </si>
  <si>
    <t>Bestand Jahresanfang (Summenposition)</t>
  </si>
  <si>
    <t>Zugänge Grundstücke und Gebäude</t>
  </si>
  <si>
    <t>Zugänge Sonstiges [Zugänge sonstiges Sachanlagevermögen + Zugänge immaterielle Vermögensgegenstände/-werte + Zugänge biologische Vermögenswerte - wenn als Anlagevermögen ausgewiesen]</t>
  </si>
  <si>
    <t>Zuschreibungen</t>
  </si>
  <si>
    <t>Abgänge</t>
  </si>
  <si>
    <t>Bestand Jahresende (Summenposition)</t>
  </si>
  <si>
    <t>Info-Position Immaterielle Vermögensgegenstände/-werte, Sachanlagen, als Finanzinvestitionen gehaltene Immobilien, Biologische Vermögenswerte, Tiervermögen (Summenposition) aus der Aktiva</t>
  </si>
  <si>
    <t>Zugänge</t>
  </si>
  <si>
    <t>Info-Position Finanzanlagen aus der Aktiva</t>
  </si>
  <si>
    <t>Kapitalerhöhung/Einlagen</t>
  </si>
  <si>
    <t>Entnahmen für Steuern</t>
  </si>
  <si>
    <t>Sonstige Entnahmen</t>
  </si>
  <si>
    <t>Kapitalherabsetzung</t>
  </si>
  <si>
    <t>Jahresüberschuss/-fehlbetrag</t>
  </si>
  <si>
    <t>Gewinnausschüttung</t>
  </si>
  <si>
    <t>Verrechnungen/Anpassungen direkt im Eigenkapital</t>
  </si>
  <si>
    <t>Veränderung EK-mindernde Posten: Zunahme (+) / Abnahme (-)</t>
  </si>
  <si>
    <t>Veränderung EK-ähnliche Posten: Zunahme (+) / Abnahme (-)</t>
  </si>
  <si>
    <t>Info-Position Wirtschaftliches Eigenkapital aus der Passiva</t>
  </si>
  <si>
    <t>Sonstiges</t>
  </si>
  <si>
    <t>Auslandsumsätze (Export)</t>
  </si>
  <si>
    <t>Wareneinkauf Ausland (Import)</t>
  </si>
  <si>
    <t>Skontierungserträge und ähnliche Erträge</t>
  </si>
  <si>
    <t>Gehälter Geschäftsführer (Vorstand)</t>
  </si>
  <si>
    <t>Löhne und Gehälter Familienmitglieder</t>
  </si>
  <si>
    <t>Miet/-Pachtzahlungen</t>
  </si>
  <si>
    <t>davon Eigenmieten</t>
  </si>
  <si>
    <t>Energiekosten innerhalb der Raumaufwendungen</t>
  </si>
  <si>
    <t>Factoringaufwendungen</t>
  </si>
  <si>
    <t>Leasingaufwendungen</t>
  </si>
  <si>
    <t>Leasingverbindlichkeiten-kapitalisiert (nicht bilanziert)</t>
  </si>
  <si>
    <t>Pensionsverpflichtungen (nicht bilanziert)</t>
  </si>
  <si>
    <t>Sonstige Verpflichtungen</t>
  </si>
  <si>
    <t>Zinszahlungen</t>
  </si>
  <si>
    <t>Zahlungen für Ertragsteuern</t>
  </si>
  <si>
    <t>Zugänge Sachanlagen, als Finanzinvestition gehaltene Immobilien und biol. Vermögenswerte</t>
  </si>
  <si>
    <t>Zugänge immaterielle Vermögensgegenstände/-werte</t>
  </si>
  <si>
    <t>Zugänge Finanzanlagen</t>
  </si>
  <si>
    <t>Erhöhung aufwandswirksam erfasster langfristiger Rückstellungen</t>
  </si>
  <si>
    <t>Tilgung von Finanzschulden</t>
  </si>
  <si>
    <t>(Nachhaltige) Kapitalerhöhung/ Einlagen</t>
  </si>
  <si>
    <t>(Nachhaltige) Kapitalherabsetzung/ Entnahmen</t>
  </si>
  <si>
    <t>(Nachhaltige) Gewinnausschüttung</t>
  </si>
  <si>
    <t>davon an Minderheitengesellschafter</t>
  </si>
  <si>
    <t>Modifizierte Steuerquote (in %)</t>
  </si>
  <si>
    <t>Zahl der Arbeitnehmer</t>
  </si>
  <si>
    <t>Umsatz pro Beschäftigter</t>
  </si>
  <si>
    <t>Bankumsatz des Kunden</t>
  </si>
  <si>
    <t>Aktueller Auftragsbestand</t>
  </si>
  <si>
    <t>Private Vermögensverhältnisse</t>
  </si>
  <si>
    <t>Sachvermögen</t>
  </si>
  <si>
    <t>Geldvermögen</t>
  </si>
  <si>
    <t>Bankkredite</t>
  </si>
  <si>
    <t>Sonstige Verbindlichkeiten</t>
  </si>
  <si>
    <t>Reinvermögen</t>
  </si>
  <si>
    <t>laufende Privateinkünfte</t>
  </si>
  <si>
    <t>laufende Privatausgaben</t>
  </si>
  <si>
    <t xml:space="preserve">Gewinn (privat) </t>
  </si>
  <si>
    <t>Kapitalflussrechnung</t>
  </si>
  <si>
    <t>Kennzahlen</t>
  </si>
  <si>
    <t>Rentabilität</t>
  </si>
  <si>
    <t>Cashflow / Umsatz (EBTDA-Marge)</t>
  </si>
  <si>
    <t>(P13349+P13199)*100/P13059</t>
  </si>
  <si>
    <t>EBITDA-Marge</t>
  </si>
  <si>
    <t>(P13249+P13251+(MAX(P13265,0))+(MAX(P13267,0))+P13199)*100/P13059</t>
  </si>
  <si>
    <t>Eigenkapitalrentabilität</t>
  </si>
  <si>
    <t>(BEDINGUNG WENN(UND(P13349&gt;0,P12169!=0)) DANN(P13349*12/P80084*100/P12169) SONST((BEDINGUNG WENN(P12169&gt;0) DANN(P13349*12/P80084*100/P12169) SONST(0))))</t>
  </si>
  <si>
    <t>Gesamtkapitalrentabilität</t>
  </si>
  <si>
    <t>((P13349+P13253+P13255+(ABS(MIN(P13265,0)))+(ABS(MIN(P13267,0))))*12/P80084*100)/P11500</t>
  </si>
  <si>
    <t>Return on Investment</t>
  </si>
  <si>
    <t>(P13549*12/P80084*100)/(P12309+P12409)</t>
  </si>
  <si>
    <t>Umsatz-Rentabilität I</t>
  </si>
  <si>
    <t>P13349*100/P13059</t>
  </si>
  <si>
    <t>Zinsdeckungsgrad (auf Basis EBITDA)</t>
  </si>
  <si>
    <t>(P13249+P13251+(MAX(P13265,0))+(MAX(P13267,0))+P13199)/(P13253+P13255+(ABS(MIN(P13265,0)))+(ABS(MIN(P13267,0))))</t>
  </si>
  <si>
    <t>Liquidität</t>
  </si>
  <si>
    <t>Debitorenziel (Tage)</t>
  </si>
  <si>
    <t>(P11291*365*P80084/12)/P13049</t>
  </si>
  <si>
    <t>Kreditorenziel (Tage)</t>
  </si>
  <si>
    <t>((P12371+P12373)*365*P80084/12)/P13089</t>
  </si>
  <si>
    <t>Lagerdauer (Tage)</t>
  </si>
  <si>
    <t>((P11249-P11226)*365*P80084/12)/P13089</t>
  </si>
  <si>
    <t>Liquidität 1. Grades</t>
  </si>
  <si>
    <t>P11369*100/P12409</t>
  </si>
  <si>
    <t>Liquidität 2. Grades</t>
  </si>
  <si>
    <t>(P11379-P11249)*100/P12409</t>
  </si>
  <si>
    <t>Liquidität 3. Grades</t>
  </si>
  <si>
    <t>P11379*100/P12409</t>
  </si>
  <si>
    <t>Umschlagsdauer (Tage)</t>
  </si>
  <si>
    <t>(P11249*365*P80084/12)/P13089</t>
  </si>
  <si>
    <t>Debitoren-Cash-Effekt</t>
  </si>
  <si>
    <t>((P11291_{-1}*365*P80084_{-1}/12/P13049_{-1})-(P11291*365*P80084/12/P13049))*P13049/365*12/P80084</t>
  </si>
  <si>
    <t>Kreditoren-Cash-Effekt</t>
  </si>
  <si>
    <t>((P12371*365*P80084/12/P13089)-(P12371_{-1}*365*P80084_{-1}/12/P13089_{-1}))*P13089/365*12/P80084</t>
  </si>
  <si>
    <t>Umschlagsdauer-Cash-Effekt</t>
  </si>
  <si>
    <t>(((P11249_{-1}*365*P80084_{-1}/12)/P13089_{-1})-((P11249*365*P80084/12)/P13089))*(P13089/365*12/P80084)</t>
  </si>
  <si>
    <t>Geldumschlagsdauer (Tage)</t>
  </si>
  <si>
    <t>P81236+P81201-P81202</t>
  </si>
  <si>
    <t>Geldumschlagsdauer-Cash-Effekt</t>
  </si>
  <si>
    <t>P81240+P81238+P81239</t>
  </si>
  <si>
    <t>Vermög.-, Kap.-, Fin.-, Struktur</t>
  </si>
  <si>
    <t>Eigenkapitalquote</t>
  </si>
  <si>
    <t>P12169*100/P12500</t>
  </si>
  <si>
    <t>Anlagendeckung</t>
  </si>
  <si>
    <t>BEDINGUNG WENN(P12169 &gt;= 0) DANN(P12309 * 100 / P11189) SONST((P12189+P12249+P12289) * 100 / (P11189-P12169))</t>
  </si>
  <si>
    <t>Anlagenintensität</t>
  </si>
  <si>
    <t>P11189*100/P11500</t>
  </si>
  <si>
    <t>Verschuldungskoeffizient - brutto (Gearing)</t>
  </si>
  <si>
    <t xml:space="preserve">(P12249+P12369)*100/P12169 </t>
  </si>
  <si>
    <t>Investitionsdeckung</t>
  </si>
  <si>
    <t>(P13249+P13251+(MAX(P13265,0))+(MAX(P13267,0))+P13199)*100/((BEDINGUNG WENN((P19131+P19132)&gt;0) DANN (P19131+P19132) SONST (P17111+P17112))-P13199)</t>
  </si>
  <si>
    <t>Verschuldungsdauer - brutto</t>
  </si>
  <si>
    <t>(P12249+P12369)/((P13349+P13199)*12/P80084)</t>
  </si>
  <si>
    <t>Vorräte zu Gesamtleistung</t>
  </si>
  <si>
    <t>P11249*100/(P13059*12/P80084)</t>
  </si>
  <si>
    <t>DSCR (Kapitaldienstdeckungsgrad - modifiziert)</t>
  </si>
  <si>
    <t>(P81444-P81532)/(P81537+P81538+P81535)</t>
  </si>
  <si>
    <t>weitere Kennzahlen</t>
  </si>
  <si>
    <t xml:space="preserve">Rohertragsmarge </t>
  </si>
  <si>
    <t>P13099*100/P13059</t>
  </si>
  <si>
    <t>Kapitalumschlagshäufigkeit</t>
  </si>
  <si>
    <t>(P13049*12/P80084)/(P12309+P12409)</t>
  </si>
  <si>
    <t>Working Capital Quote</t>
  </si>
  <si>
    <t>(P11291+P11249+P11298+P11315+P11317+P11328+P11331+P11345+P11347+P11419+P11459)*100/ (P12371+P12373+P12375+P12376+P12329+P12380+P12387+P12395+P12397+P12449)</t>
  </si>
  <si>
    <t> = (P13349+P13199)*100/P13059</t>
  </si>
  <si>
    <t>(Betriebsergebnis v. Ertragsteuern + Abschreibungen)*100 / Gesamtleistung</t>
  </si>
  <si>
    <t xml:space="preserve"> = (Betriebsergebnis vor Steuern vom Einkommen und Ertrag+Planmäßige Abschreibungen auf Sachanlagen und immaterielle Vermögensgegenstände/-werte sowie auf Nutzungsrechte aus Leasingverhältnissen)*100/Gesamtleistung </t>
  </si>
  <si>
    <t>Die EBTDA-Marge ist der prozentuale Anteil des EBTDA an der Gesamtleistung eines Unternehmens in einer Periode und zeigt, wie profitabel das Unternehmen vor Steuern und Abschreibungen wirtschaftet. Beim Umsatzkostenverfahren werden alternativ zur Gesamtleistung die Umsatzerlöse herangezogen</t>
  </si>
  <si>
    <t>Umsatzrentabilität / EBT-Marge / Gewinnrate</t>
  </si>
  <si>
    <t> = P13349*100/P13059</t>
  </si>
  <si>
    <t>Betriebsergebnis v. Ertragsteuern*100 / Gesamtleistung</t>
  </si>
  <si>
    <t xml:space="preserve"> = Betriebsergebnis vor Steuern vom Einkommen und Ertrag*100/Gesamtleistung </t>
  </si>
  <si>
    <t>Die Kennzahl ‚Earning before taxes‘ gibt das Ergebnis vor Ertragsteuern wieder. Nicht enthalten sind damit die Erträge und Aufwendungen aus den unregelmäßigen Aktivitäten des auszuwertenden Unternehmens. Die EBT-Marge bezieht das Ergebnis auf den Umsatz und ermöglicht dadurch den Rentabilitätsvergleich unterschiedlich großer Unternehmen. Ihre Höhe ist u.a. von der Branchenzugehörigkeit abhängig.</t>
  </si>
  <si>
    <t>EBIT-Marge</t>
  </si>
  <si>
    <t> = (P13249+P13251+(MAX(P13265,0))+(MAX(P13267,0)))*100/P13059</t>
  </si>
  <si>
    <t>(Betriebsergebnis vor Ertragsteuern und Zinsaufwendungen) *100 / Gesamtleistung</t>
  </si>
  <si>
    <t xml:space="preserve"> = (Betriebsergebnis - Brutto+Sonstige Zinsen und ähnliche Erträge+(MAX(Variable Freiposition,0))+(MAX(Variable Freiposition,0)))*100/Gesamtleistung </t>
  </si>
  <si>
    <t>Das EBIT ist eine Kennzahl zur Beurteilung der operativen Ertragskraft eines Unternehmens. Es zeigt auf, welches Ergebnis das Unternehmen vor Zinsaufwand und Beteiligungsergebnis und vor Abzug von Ertragsteuern nachhaltig erwirtschaftet.</t>
  </si>
  <si>
    <t>Das EBIT bildet die Basis für die Vergleichskennzahl EBIT-Marge, die das EBIT in Relation zum Umsatz setzt. Sie ist als Variante der Umsatzrendite ein Maß für die Rentabilität und zeigt, wie profitabel das Unternehmen vor Zinsen und Ertragsteuern wirtschaftet.</t>
  </si>
  <si>
    <t> = (P13249+P13251+(MAX(P13265,0))+(MAX(P13267,0))+P13199)*100/P13059</t>
  </si>
  <si>
    <t>(Betriebsergebnis vor Ertragsteuern und Zinsaufwendungen und Abschreibungen)*100 / Gesamtleistung</t>
  </si>
  <si>
    <t xml:space="preserve"> = (Betriebsergebnis - Brutto+Sonstige Zinsen und ähnliche Erträge+(MAX(Variable Freiposition,0))+(MAX(Variable Freiposition,0))+Planmäßige Abschreibungen auf Sachanlagen und immaterielle Vermögensgegenstände/-werte sowie auf Nutzungsrechte aus Leasingverhältnissen)*100/Gesamtleistung </t>
  </si>
  <si>
    <t>Die absolute Ertragskennzahl EBITDA beschreibt das operative Ergebnis vor Zinsen, Ertragsteuern und Abschreibungen, welche unregelmäßige Effekte ausschließt. Die EBITDA-Marge ist der prozentuale Anteil des EBITDA an der Gesamtleistung eines Unternehmens in einer Periode und zeigt, wie profitabel das Unternehmen vor Zinsen, Steuern und Abschreibungen wirtschaftet.</t>
  </si>
  <si>
    <t>Adjusted Leverage Ratio</t>
  </si>
  <si>
    <t> = P11500*100/P12169</t>
  </si>
  <si>
    <t>Bilanzsumme*100 / wirtschaftliches EK</t>
  </si>
  <si>
    <t> = Bilanzsumme - bereinigt (AKTIVA)*100/Wirtschaftliches Eigenkapital</t>
  </si>
  <si>
    <t>Durchschnittlicher Personalaufwand</t>
  </si>
  <si>
    <t> = (P13179*12/P80084)/P19171</t>
  </si>
  <si>
    <t>Personalaufwand / Zahl der Arbeitnehmer</t>
  </si>
  <si>
    <t> = (Personalaufwand*12/Bilanzierungsmonate)/Zahl der Arbeitnehmer</t>
  </si>
  <si>
    <t> = (BEDINGUNG WENN(UND(P13349&gt;0,P12169!=0)) DANN(P13349*12/P80084*100/P12169) SONST((BEDINGUNG WENN(P12169&gt;0) DANN(P13349*12/P80084*100/P12169) SONST(0))))</t>
  </si>
  <si>
    <t>Betriebsergebnis vor Steuern vom Einkommen und Ertrag *100/ Wirtschaftliches Eigenkapital</t>
  </si>
  <si>
    <t> = (BEDINGUNG WENN(UND(Betriebsergebnis vor Steuern vom Einkommen und Ertrag&gt;0,Wirtschaftliches Eigenkapital!=0)) DANN(Betriebsergebnis vor Steuern vom Einkommen und Ertrag*12/Bilanzierungsmonate*100/Wirtschaftliches Eigenkapital) SONST((BEDINGUNG WENN(Wirtschaftliches Eigenkapital&gt;0) DANN(Betriebsergebnis vor Steuern vom Einkommen und Ertrag*12/Bilanzierungsmonate*100/Wirtschaftliches Eigenkapital) SONST(0))))</t>
  </si>
  <si>
    <t>Die Rentabilität des Eigenkapitals soll vor Ertragsteuern (damit rechtsform- und gewinnverwendungsunabhängig) ermittelt werden. Die Eigenkapitalrentabilität zeigt die Verzinsung des von den Eigenkapitalgebern im Unternehmen eingesetzten Kapitals an. Zur Abdeckung von Unternehmensrisiken sollte die Eigenkapitalrentabilität langfristig deutlich den Kapitalmarktzins übersteigen.</t>
  </si>
  <si>
    <t>Entnahmequote</t>
  </si>
  <si>
    <t> = (P17312+P17313+P17316)*100 /P13539</t>
  </si>
  <si>
    <t>Gewinnausschüttung*100/ Jahresergebnis vor Steuern</t>
  </si>
  <si>
    <t> = (Entnahmen für Steuern+Sonstige Entnahmen+Gewinnausschüttung)*100 /Jahresergebnis vor Steuern</t>
  </si>
  <si>
    <t> = ((P13349+P13253+P13255+(ABS(MIN(P13265,0)))+(ABS(MIN(P13267,0))))*12/P80084*100)/P11500</t>
  </si>
  <si>
    <t xml:space="preserve">(Betriebsergebnis vor Steuern vom Einkommen und Ertrag + Zinsen und ähnliche Aufwendungen)*100 / Bilanzsumme-bereinigt </t>
  </si>
  <si>
    <t> = ((Betriebsergebnis vor Steuern vom Einkommen und Ertrag+Zinsen und ähnliche Aufwendungen+Zinsaufwand für Gesellschafterdarlehen+(ABS(MIN(Variable Freiposition,0)))+(ABS(MIN(Variable Freiposition,0))))*12/Bilanzierungsmonate*100)/Bilanzsumme - bereinigt (AKTIVA)</t>
  </si>
  <si>
    <t>Es soll die Rentabilität des Unternehmens vor Ertragsteuern (damit rechtsform- und gewinnverwendungsunabhängig) und losgelöst von der Finanzierungsstruktur (und damit u.U. stark schwankender Zinsen) errechnet werden. Die Gesamtkapitalrentabilität gibt Auskunft darüber, mit wie viel Prozent das gesamte im Unternehmen während einer Berichtsperiode durchschnittlich gebundene Kapital vor Abzug von Ertragsteuern im Rahmen des operativen Ergebnisses verzinst wird.</t>
  </si>
  <si>
    <t>Leistung je Mitarbeiter</t>
  </si>
  <si>
    <t> = (P13059*12/P80084)/P19171</t>
  </si>
  <si>
    <t>Gesamtleistung/ Mitarbeiter</t>
  </si>
  <si>
    <t> = (Gesamtleistung *12/Bilanzierungsmonate)/Zahl der Arbeitnehmer</t>
  </si>
  <si>
    <t>Materialeinsatz</t>
  </si>
  <si>
    <t> = P13089*100/P13059</t>
  </si>
  <si>
    <t>Materialaufwand*100/ Gesamtleistung</t>
  </si>
  <si>
    <t xml:space="preserve"> = Materialaufwand*100/Gesamtleistung </t>
  </si>
  <si>
    <t>Personalintensität</t>
  </si>
  <si>
    <t> = P13179*100/(P13249+P13251+(MAX(P13265,0))+(MAX(P13267,0)))</t>
  </si>
  <si>
    <t>Personalaufwand*100 / EBIT</t>
  </si>
  <si>
    <t> = Personalaufwand*100/(Betriebsergebnis - Brutto+Sonstige Zinsen und ähnliche Erträge+(MAX(Variable Freiposition,0))+(MAX(Variable Freiposition,0)))</t>
  </si>
  <si>
    <t>Produktivität je Mitarbeiter</t>
  </si>
  <si>
    <t> = (P13349*12/P80084)/P19171</t>
  </si>
  <si>
    <t>EBT / Zahl der Arbeitnehmer</t>
  </si>
  <si>
    <t> = (Betriebsergebnis vor Steuern vom Einkommen und Ertrag*12/Bilanzierungsmonate)/Zahl der Arbeitnehmer</t>
  </si>
  <si>
    <t> = (P13549*12/P80084*100)/(P12309+P12409)</t>
  </si>
  <si>
    <t>Jahresergebnis nach Steuern*100/ (langfristiges Kapital + kurzfristiges Fremdkapital + abgehende Schulden)</t>
  </si>
  <si>
    <t> = (Jahresergebnis nach Steuern*12/Bilanzierungsmonate*100)/(Langfristiges Kapital+Kurzfristiges Fremdkapital)</t>
  </si>
  <si>
    <t>Der Return on Investment (ROI) gibt an, was aus dem Investment in das Unternehmen "zurückgekehrt" ist, d.h. welche Rendite das gesamte im</t>
  </si>
  <si>
    <t>Unternehmen eingesetzte Kapital erwirtschaftet hat. Er zeigt das Gewinnziel bzw. den prozentualen Anteil des Gewinns am Gesamtkapital an. Als Gewinngröße wird das Jahresergebnis nach Steuern herangezogen.</t>
  </si>
  <si>
    <t>Der ROI errechnet sich als Produkt aus den beiden Kennzahlen Umsatzrentabilität und Kapitalumschlag und drückt die jährliche Rentabilität</t>
  </si>
  <si>
    <t>des investierten Kapitals aus.</t>
  </si>
  <si>
    <t> = (MAX(P13541,0))*100/P13539</t>
  </si>
  <si>
    <t>Steuern vom Einkommen und Ertrag*100/ Jahresergebnis vor Steuern</t>
  </si>
  <si>
    <t> = (MAX(Steuern vom Einkommen und Ertrag,0))*100/Jahresergebnis vor Steuern</t>
  </si>
  <si>
    <t>Betriebsergebnis vor Steuern vom Einkommen und Ertrag* 100/ Gesamtleistung</t>
  </si>
  <si>
    <t>Umsatzveränderung</t>
  </si>
  <si>
    <t> = ((P13049*12/P80084)-(P13049_{-1}*12/P80084_{-1}))*100/(P13049_{-1}*12/P80084_{-1})</t>
  </si>
  <si>
    <t>(Umsatz ./.Umsatz Vj)*100 / Umsatz Vj</t>
  </si>
  <si>
    <t> = ((Summe Umsatzerlöse*12/Bilanzierungsmonate)-(Summe Umsatzerlöse_{-1}*12/Bilanzierungsmonate_{-1}))*100/(Summe Umsatzerlöse_{-1}*12/Bilanzierungsmonate_{-1})</t>
  </si>
  <si>
    <t>Wertschöpfung je Mitarbeiter</t>
  </si>
  <si>
    <t> = (P13249*12/P80084)/P19171</t>
  </si>
  <si>
    <t>Betriebsergebnis /Zahl der Arbeitnehmer</t>
  </si>
  <si>
    <t> = (Betriebsergebnis - Brutto*12/Bilanzierungsmonate)/Zahl der Arbeitnehmer</t>
  </si>
  <si>
    <t>Zinsdeckung</t>
  </si>
  <si>
    <t xml:space="preserve"> = (P13249+P13251+(MAX(P13265,0))+(MAX(P13267,0)))/(P13253+P13255+ABS(MIN(P13265,0))+ABS(MIN(P13267,0))) </t>
  </si>
  <si>
    <t xml:space="preserve">EBIT / Zinsen und ähnliche Aufwendungen </t>
  </si>
  <si>
    <t xml:space="preserve"> = (Betriebsergebnis - Brutto+Sonstige Zinsen und ähnliche Erträge+(MAX(Variable Freiposition,0))+(MAX(Variable Freiposition,0)))/(Zinsen und ähnliche Aufwendungen+Zinsaufwand für Gesellschafterdarlehen+ABS(MIN(Variable Freiposition,0))+ABS(MIN(Variable Freiposition,0))) </t>
  </si>
  <si>
    <t>Die Kennzahl ‚Zinsdeckung‘ zeigt das Verhältnis des betrieblichen Erfolgs vor Zinsen und Ertragsteuern (und damit rechtsform- und gewinnverwendungsunabhängig) in Relation zur Finanzierungsstruktur (und damit u.U. stark schwankender Zinsen). Aus der Gegenüberstellung des EBIT (Betriebsergebnis Brutto) und des Zinsaufwands lässt sich ablesen, welches Gewicht der Verschuldung bei der gegebenen Ertragslage zukommt. Je höher die Zinsdeckung, desto geringer die Belastung mit Zinsen. Die Kennzahl ist damit auch ein Kriterium für die Beurteilung des vorhandenen Spielraums für zusätzliche Kreditaufnahmen.</t>
  </si>
  <si>
    <t xml:space="preserve">Zinsdeckung I </t>
  </si>
  <si>
    <t> = (P13249+P13251+(MAX(P13265,0))+(MAX(P13267,0))+P13199)/P13269</t>
  </si>
  <si>
    <t>EBITDA / Zinsergebnis</t>
  </si>
  <si>
    <t> = (Betriebsergebnis - Brutto+Sonstige Zinsen und ähnliche Erträge+(MAX(Variable Freiposition,0))+(MAX(Variable Freiposition,0))+Planmäßige Abschreibungen auf Sachanlagen und immaterielle Vermögensgegenstände/-werte sowie auf Nutzungsrechte aus Leasingverhältnissen)/Zinsergebnis</t>
  </si>
  <si>
    <t>Zinsdeckung II</t>
  </si>
  <si>
    <t> = (P13249+P13251+(MAX(P13265,0))+(MAX(P13267,0)))/P13269</t>
  </si>
  <si>
    <t>EBIT / Zinsergebnis</t>
  </si>
  <si>
    <t> = (Betriebsergebnis - Brutto+Sonstige Zinsen und ähnliche Erträge+(MAX(Variable Freiposition,0))+(MAX(Variable Freiposition,0)))/Zinsergebnis</t>
  </si>
  <si>
    <t> = (P13249+P13251+(MAX(P13265,0))+(MAX(P13267,0))+P13199)/(P13253+P13255+(ABS(MIN(P13265,0)))+(ABS(MIN(P13267,0))))</t>
  </si>
  <si>
    <t xml:space="preserve">EBITDA / Zinsen und ähnliche Aufwendungen </t>
  </si>
  <si>
    <t> = (Betriebsergebnis - Brutto+Sonstige Zinsen und ähnliche Erträge+(MAX(Variable Freiposition,0))+(MAX(Variable Freiposition,0))+Planmäßige Abschreibungen auf Sachanlagen und immaterielle Vermögensgegenstände/-werte sowie auf Nutzungsrechte aus Leasingverhältnissen)/(Zinsen und ähnliche Aufwendungen+Zinsaufwand für Gesellschafterdarlehen+(ABS(MIN(Variable Freiposition,0)))+(ABS(MIN(Variable Freiposition,0))))</t>
  </si>
  <si>
    <t> = (P11291*365*P80084/12)/P13049</t>
  </si>
  <si>
    <t>Forderungen aus Lieferungen und Leistungen ./. davon aus Auftragsfertigung nach PoC)*365 / Umsatzerlöse</t>
  </si>
  <si>
    <t> = (Forderungen aus Lieferungen und Leistungen*365*Bilanzierungsmonate/12)/Summe Umsatzerlöse</t>
  </si>
  <si>
    <t>Mit dem Debitorenziel wird das Zahlungsverhalten der Kunden in Form des durchschnittlichen Zahlungszieles bei allen Verkäufen aufgezeigt. Es sagt aus, wie viel Tage die Kunden des zu analysierenden Unternehmens im Durchschnitt benötigen, bis sie ihre Rechnungen beglichen haben.</t>
  </si>
  <si>
    <t>Je niedriger das Debitorenziel, desto tendenziell positiver sind die Auswirkungen auf die Liquidität. Die Kennzahl ist nur innerhalb einer Branche aussagekräftig.</t>
  </si>
  <si>
    <t> = ((P12371+P12373)*365*P80084/12)/P13089</t>
  </si>
  <si>
    <t>(Verbindlichkeiten aus Lieferungen und Leistungen + Wechselverbindlichkeiten)*365 / Materialaufwand</t>
  </si>
  <si>
    <t> = ((Verbindlichkeiten aus Lieferungen und Leistungen bis 1 Jahr+Wechselverbindlichkeiten)*365*Bilanzierungsmonate/12)/Materialaufwand</t>
  </si>
  <si>
    <t>Das Kreditorenziel zeigt das Zahlungsverhalten des Unternehmens gegenüber seinen Lieferanten bei Zieleinkäufen. Die Kennzahl gibt im</t>
  </si>
  <si>
    <t>Durchschnitt die Zeit in Tagen an, mit der ein Lieferantenkredit in Anspruch genommen wird.</t>
  </si>
  <si>
    <t> = ((P11249-P11226)*365*P80084/12)/P13089</t>
  </si>
  <si>
    <t>(Vorräte./.Geleistete Anzahlungen) *365 / Materialaufwand</t>
  </si>
  <si>
    <t> = ((Vorräte-Geleistete Anzahlungen)*365*Bilanzierungsmonate/12)/Materialaufwand</t>
  </si>
  <si>
    <t>Kreditorenziel (Tage; ohne Wechselverb.)</t>
  </si>
  <si>
    <t> = (P12371*365*P80084/12)/P13089</t>
  </si>
  <si>
    <t>Verbindlichkeiten aus Lieferungen und Leistungen)*365 / Materialaufwand</t>
  </si>
  <si>
    <t> = (Verbindlichkeiten aus Lieferungen und Leistungen bis 1 Jahr*365*Bilanzierungsmonate/12)/Materialaufwand</t>
  </si>
  <si>
    <t>Das Kreditorenziel zeigt das Zahlungsverhalten des Unternehmens gegenüber seinen Lieferanten bei Zieleinkäufen. Die Kennzahl gibt im Durchschnitt die Zeit in Tagen an, mit der ein Lieferantenkredit in Anspruch genommen wird.</t>
  </si>
  <si>
    <t> = P11369*100/P12409</t>
  </si>
  <si>
    <t xml:space="preserve">Finanzmittel*100 / kurzfristiges Fremdkapital </t>
  </si>
  <si>
    <t> = Finanzmittel*100/Kurzfristiges Fremdkapital</t>
  </si>
  <si>
    <t> = (P11379-P11249)*100/P12409</t>
  </si>
  <si>
    <t>(Umlaufvermögen ./. Vorräte) *100/ kurzfristiges Fremdkapital</t>
  </si>
  <si>
    <t> = (Umlaufvermögen - kurzfristige Vermögensgegenstände/-werte-Vorräte)*100/Kurzfristiges Fremdkapital</t>
  </si>
  <si>
    <t> = P11379*100/P12409</t>
  </si>
  <si>
    <t>Umlaufvermögen *100 / kurzfristiges Fremdkapital</t>
  </si>
  <si>
    <t> = Umlaufvermögen - kurzfristige Vermögensgegenstände/-werte*100/Kurzfristiges Fremdkapital</t>
  </si>
  <si>
    <t>Reichweite Nettoumlaufvermögen</t>
  </si>
  <si>
    <t> = ((P11249*365*P80084/12)/P13089)+((P11291*365*P80084/12)/P13049)-((P12371*365*P80084/12)/P13089)</t>
  </si>
  <si>
    <t>Umschlagsdauer + Debitorenziel ./. Kreditorenziel</t>
  </si>
  <si>
    <t> = ((Vorräte*365*Bilanzierungsmonate/12)/Materialaufwand)+((Forderungen aus Lieferungen und Leistungen*365*Bilanzierungsmonate/12)/Summe Umsatzerlöse)-((Verbindlichkeiten aus Lieferungen und Leistungen bis 1 Jahr*365*Bilanzierungsmonate/12)/Materialaufwand)</t>
  </si>
  <si>
    <t> = (P11249*365*P80084/12)/P13089</t>
  </si>
  <si>
    <t>Vorräte * 365 / Materialaufwand</t>
  </si>
  <si>
    <t> = (Vorräte*365*Bilanzierungsmonate/12)/Materialaufwand</t>
  </si>
  <si>
    <t>Diese Kennziffer ermöglicht eine Aussage über die Verweildauer eines Produkts im Lager in Tagen. Bei Handelsunternehmen spricht eine kurze Verweildauer für ein marktgängiges Sortiment. Bei Produktionsunternehmen ist eine derart klare Aussage nicht möglich, da der Fertigungsgrad der unfertigen Erzeugnisse meist unbekannt ist. Je kürzer die Lagerdauer, desto kürzer sind der Kapitaleinsatz und das Lagerrisiko, desto geringer sind die Kosten für die Lagerhaltung (Zinsen, Schwund, Verwaltungskosten), desto höher sind Wertschöpfung, Gewinn und Rentabilität. Umgekehrt ist eine längere Lagerumschlagsdauer als Warnsignal für das Lagerrisiko und die damit verbundenen Kosten zu werten.</t>
  </si>
  <si>
    <t> = (P13089*12/P80084)/(P11249)</t>
  </si>
  <si>
    <t>Materialaufwand/ Vorräte</t>
  </si>
  <si>
    <t> = (Materialaufwand*12/Bilanzierungsmonate)/(Vorräte)</t>
  </si>
  <si>
    <t> = ((P11291_{-1}*365*P80084_{-1}/12/P13049_{-1})-(P11291*365*P80084/12/P13049))*P13049/365*12/P80084</t>
  </si>
  <si>
    <t>(Debitorenziel VJ ./. Debitorenziel) * Umsatzerlöse / 365</t>
  </si>
  <si>
    <t> = ((Forderungen aus Lieferungen und Leistungen_{-1}*365*Bilanzierungsmonate_{-1}/12/Summe Umsatzerlöse_{-1})-(Forderungen aus Lieferungen und Leistungen*365*Bilanzierungsmonate/12/Summe Umsatzerlöse))*Summe Umsatzerlöse/365*12/Bilanzierungsmonate</t>
  </si>
  <si>
    <t>Der Debitoren-Cash-Effekt im Vergleich zum Vorjahr gibt an, um welchen Betrag sich die Warenforderungen aufgrund der Veränderung des Debitorenziels geändert haben.</t>
  </si>
  <si>
    <t> = ((P12371*365*P80084/12/P13089)-(P12371_{-1}*365*P80084_{-1}/12/P13089_{-1}))*P13089/365*12/P80084</t>
  </si>
  <si>
    <t>(Kreditorenziel ./. Kreditorenziel VJ) * Materialaufwand / 365</t>
  </si>
  <si>
    <t> = ((Verbindlichkeiten aus Lieferungen und Leistungen bis 1 Jahr*365*Bilanzierungsmonate/12/Materialaufwand)-(Verbindlichkeiten aus Lieferungen und Leistungen bis 1 Jahr_{-1}*365*Bilanzierungsmonate_{-1}/12/Materialaufwand_{-1}))*Materialaufwand/365*12/Bilanzierungsmonate</t>
  </si>
  <si>
    <t>Der Kreditoren-Cash-Effekt im Vergleich zum Vorjahr gibt an, um welchen Betrag sich die Verbindlichkeiten aus L u.L aufgrund der Veränderung des Kreditorenziels verändert haben.</t>
  </si>
  <si>
    <t> = (((P11249_{-1}*365*P80084_{-1}/12)/P13089_{-1})-((P11249*365*P80084/12)/P13089))*(P13089/365*12/P80084)</t>
  </si>
  <si>
    <t>(Umschlagsdauer VJ ./. Umschlagsdauer) * Materialaufwand / 365</t>
  </si>
  <si>
    <t> = (((Vorräte_{-1}*365*Bilanzierungsmonate_{-1}/12)/Materialaufwand_{-1})-((Vorräte*365*Bilanzierungsmonate/12)/Materialaufwand))*(Materialaufwand/365*12/Bilanzierungsmonate)</t>
  </si>
  <si>
    <t>Der Umschlagsdauer-Cash-Effekt im Vergleich zum Vorjahr gibt an, um welchen Betrag sich die Vorräte aufgund der Veränderung der Umschlagsdauer verändert haben.</t>
  </si>
  <si>
    <t> = P12169*100/P12500</t>
  </si>
  <si>
    <t>Wirtschaftliches Eigenkapital*100/ Bilanzsumme-bereinigt</t>
  </si>
  <si>
    <t> = Wirtschaftliches Eigenkapital*100/Bilanzsumme - bereinigt (PASSIVA)</t>
  </si>
  <si>
    <t>Mit der Eigenkapitalquote wird der prozentuale Anteil des Eigenkapitals am Gesamtkapital ermittelt (vertikale Struktur). Dabei ist zu beachten, dass die Höhe stark von der Branchenzugehörigkeit und der Kapitalintensität des Betriebes abhängt. Die Kennzahl sagt aus, zu welchem Prozentsatz das Vermögen eines Unternehmens am Bilanzstichtag durch Eigenkapital finanziert ist. Eine hohe Eigenkapitalquote gilt als ein Indikator für ein hohes Maß an finanzieller Stabilität. Dem Eigenkapital kommt ferner die Aufgabe zu, Verluste des Unternehmens entsprechend auffangen zu können.</t>
  </si>
  <si>
    <t> = BEDINGUNG WENN(P12169 &gt;= 0) DANN(P12309 * 100 / P11189) SONST((P12189+P12249+P12289) * 100 / (P11189-P12169))</t>
  </si>
  <si>
    <t>(Langfristiges Kapital)*100 / Anlagevermögen</t>
  </si>
  <si>
    <t> = BEDINGUNG WENN(Wirtschaftliches Eigenkapital &gt;= 0) DANN(Langfristiges Kapital * 100 / Anlagevermögen ) SONST((Langfristige Rückstellungen +Langfristige Finanzschulden - zinstragend +Langfristige Verbindlichkeiten - nicht zinstragend) * 100 / (Anlagevermögen -Wirtschaftliches Eigenkapital))</t>
  </si>
  <si>
    <t>Dem Eigenkapital wird das langfristige Fremdkapital hinzugefügt und damit das gesamte langfristige Kapital dem Anlagevermögen gegenübergestellt (horizontale Struktur). Hierdurch soll die Fristengleichheit der Finanzierung aufgezeigt werden. Es ist zu beachten, dass beispielsweise durch das „Sale-and-lease-back-Verfahren“ die Kennzahl verbessert werden kann, ohne dass tatsächlich eine Verbesserung der Unternehmenssituation eingetreten ist.</t>
  </si>
  <si>
    <t>Nettoumlaufvermögen</t>
  </si>
  <si>
    <t> = P11379-P12409</t>
  </si>
  <si>
    <t>Umlaufvermögen ./. kurzfristige Verbindlichkeiten</t>
  </si>
  <si>
    <t> = Umlaufvermögen - kurzfristige Vermögensgegenstände/-werte-Kurzfristiges Fremdkapital</t>
  </si>
  <si>
    <t>(EBDA abzgl. Capex) zu (Zinsaufwand und Tilgung)</t>
  </si>
  <si>
    <t> = (P13349+P13199-P13541-(BEDINGUNG WENN ((P19131+P19132)&gt;0) DANN (P19131+P19132) SONST (P17111+P17112)))/(P13253+P13255+(ABS(MIN(P13265,0)))+(ABS(MIN(P13267,0)))+P19151)</t>
  </si>
  <si>
    <t>(EBDA - Capex) / (Zinsaufwand + Tilgung)</t>
  </si>
  <si>
    <t> = (Betriebsergebnis vor Steuern vom Einkommen und Ertrag+Planmäßige Abschreibungen auf Sachanlagen und immaterielle Vermögensgegenstände/-werte sowie auf Nutzungsrechte aus Leasingverhältnissen-Steuern vom Einkommen und Ertrag-(BEDINGUNG WENN ((Zugänge Sachanlagen, als Finanzinvestition gehaltene Immobilien und biol. Vermögenswerte+Zugänge immaterielle Vermögensgegenstände/-werte)&gt;0) DANN (Zugänge Sachanlagen, als Finanzinvestition gehaltene Immobilien und biol. Vermögenswerte+Zugänge immaterielle Vermögensgegenstände/-werte) SONST (Zugänge Grundstücke und Gebäude+Zugänge Sonstiges [Zugänge sonstiges Sachanlagevermögen + Zugänge immaterielle Vermögensgegenstände/-werte + Zugänge biologische Vermögenswerte - wenn als Anlagevermögen ausgewiesen])))/(Zinsen und ähnliche Aufwendungen+Zinsaufwand für Gesellschafterdarlehen+(ABS(MIN(Variable Freiposition,0)))+(ABS(MIN(Variable Freiposition,0)))+Tilgung von Finanzschulden)</t>
  </si>
  <si>
    <t>Anlagendeckung II</t>
  </si>
  <si>
    <t xml:space="preserve"> = (P12169+P12189+P12249+P12289)*100/P11189 </t>
  </si>
  <si>
    <t>(Wirtschaftliches Eigenkapital + Langfristige Rückstellungen + langfristige Finanzschulden + langfristige Verbindlichkeiten-nicht zinstragend)*100 / Anlagevermögen</t>
  </si>
  <si>
    <t xml:space="preserve"> = (Wirtschaftliches Eigenkapital+Langfristige Rückstellungen +Langfristige Finanzschulden - zinstragend +Langfristige Verbindlichkeiten - nicht zinstragend)*100/Anlagevermögen </t>
  </si>
  <si>
    <t> = P11189*100/P11500</t>
  </si>
  <si>
    <t>Anlagevermögen*100 / Bilanzsumme-bereinigt</t>
  </si>
  <si>
    <t> = Anlagevermögen *100/Bilanzsumme - bereinigt (AKTIVA)</t>
  </si>
  <si>
    <t>Die Kennzahl zeigt den prozentualen Anteil des Anlagevermögens am Gesamtvermögen (vertikale Struktur). Das Anlagevermögen ist mit einer langfristigen Kapitalbindung und hohen Fixkosten verbunden. Wenn die Erträge zurückgehen, die Aufwendungen aber bestehen bleiben, drohen Liquiditätsengpässe. Daraus folgt, dass die Fähigkeit, auf Beschäftigungsrückgänge reagieren zu können, bei einer hohen Anlagenintensität abnimmt. Insgesamt kann diese Kennzahl erst im Vergleich zu einer Branchenbenchmark Aussagekraft erhalten.</t>
  </si>
  <si>
    <t>Brutto-Finanzschulden inkl. Leasingaufwand zu EBITDAR</t>
  </si>
  <si>
    <t> = (P12249+P12369+P19112)/((P13249+P13251+(MAX(P13265,0))+(MAX(P13267,0))+P13199+P13205+P13206)*(12/P80084))</t>
  </si>
  <si>
    <t>(Brutto-Finanzschulden + Leasingaufwand) / EBITDAR</t>
  </si>
  <si>
    <t> = (Langfristige Finanzschulden - zinstragend +Kurzfristige Finanzschulden - zinstragend+Leasingverbindlichkeiten-kapitalisiert (nicht bilanziert))/((Betriebsergebnis - Brutto+Sonstige Zinsen und ähnliche Erträge+(MAX(Variable Freiposition,0))+(MAX(Variable Freiposition,0))+Planmäßige Abschreibungen auf Sachanlagen und immaterielle Vermögensgegenstände/-werte sowie auf Nutzungsrechte aus Leasingverhältnissen+davon Aufwendungen für Immobilien (Miete, Pacht, Leasing)+davon Aufwendungen für Mobilien (Miete, Pacht, Leasing))*(12/Bilanzierungsmonate))</t>
  </si>
  <si>
    <t>Brutto-Finanzschulden zu (Brutto-Finanzschulden und wirtschaftliches Eigenkapital)</t>
  </si>
  <si>
    <t> = (P12249+P12369)*100/(P12249+P12369+P12169)</t>
  </si>
  <si>
    <t>Brutto-Finanzschulden*100 / (Brutto-Finanzschulden + wirtschaftliches Eigenkapital)</t>
  </si>
  <si>
    <t> = (Langfristige Finanzschulden - zinstragend +Kurzfristige Finanzschulden - zinstragend)*100/(Langfristige Finanzschulden - zinstragend +Kurzfristige Finanzschulden - zinstragend+Wirtschaftliches Eigenkapital)</t>
  </si>
  <si>
    <t>Brutto-Finanzschulden zu EBDA</t>
  </si>
  <si>
    <t> = (P12249+P12369)/((P13349+P13199-P13541)*(12/P80084))</t>
  </si>
  <si>
    <t>Brutto-Finanzschulden / EBDA</t>
  </si>
  <si>
    <t> = (Langfristige Finanzschulden - zinstragend +Kurzfristige Finanzschulden - zinstragend)/((Betriebsergebnis vor Steuern vom Einkommen und Ertrag+Planmäßige Abschreibungen auf Sachanlagen und immaterielle Vermögensgegenstände/-werte sowie auf Nutzungsrechte aus Leasingverhältnissen-Steuern vom Einkommen und Ertrag)*(12/Bilanzierungsmonate))</t>
  </si>
  <si>
    <t>Eigenkapitalquote vor Abzug von Korrekturposten</t>
  </si>
  <si>
    <t xml:space="preserve"> = P12099*100/(P11500+P12129) </t>
  </si>
  <si>
    <t>Ausgewiesenes Eigenkapital*100 / (Bilanzsumme - bereinigt + Eigenkapitalmindernde Posten)</t>
  </si>
  <si>
    <t xml:space="preserve"> = Ausgewiesenes Eigenkapital*100/(Bilanzsumme - bereinigt (AKTIVA)+Eigenkapitalmindernde Posten) </t>
  </si>
  <si>
    <t>Finanzverschuldung</t>
  </si>
  <si>
    <t> = (P12249+P12369)/((P13249+P13251+(MAX(P13265,0))+(MAX(P13267,0)))*12/P80084)</t>
  </si>
  <si>
    <t>Brutto-Finanzschulden / EBIT</t>
  </si>
  <si>
    <t> = (Langfristige Finanzschulden - zinstragend +Kurzfristige Finanzschulden - zinstragend)/((Betriebsergebnis - Brutto+Sonstige Zinsen und ähnliche Erträge+(MAX(Variable Freiposition,0))+(MAX(Variable Freiposition,0)))*12/Bilanzierungsmonate)</t>
  </si>
  <si>
    <t xml:space="preserve"> = (P12249+P12369)*100/P12169 </t>
  </si>
  <si>
    <t>Brutto-Finanzschulden*100 / wirtschaftliches Eigenkapital</t>
  </si>
  <si>
    <t xml:space="preserve"> = (Langfristige Finanzschulden - zinstragend +Kurzfristige Finanzschulden - zinstragend)*100/Wirtschaftliches Eigenkapital </t>
  </si>
  <si>
    <t>Als Gearing bezeichnet man das Verhältnis von Verschuldung zu Eigenkapital. Diese Kennzahl informiert über das Risiko, das von Eigentümern und Kreditoren eingegangen worden ist, und zeigt den Spielraum für eine mögliche Aufnahme von neuen Schulden an. Je höher das Gearing, desto grösser das Risiko, je geringer die Kennzahl, desto höher der Eigenkapitalanteil am eingesetzten verzinslichen Kapital.</t>
  </si>
  <si>
    <t>Verschuldungskoeffizient - netto (Gearing)</t>
  </si>
  <si>
    <t xml:space="preserve"> = (P12249+P12369-P11369)*100/P12169 </t>
  </si>
  <si>
    <t>Netto-Finanzschulden*100 / wirtschaftliches Eigenkapital</t>
  </si>
  <si>
    <t xml:space="preserve"> = (Langfristige Finanzschulden - zinstragend +Kurzfristige Finanzschulden - zinstragend-Finanzmittel)*100/Wirtschaftliches Eigenkapital </t>
  </si>
  <si>
    <t>Die Kennzahl stellt, definiert durch die Nettofinanzverschuldung (verzinsliches Fremdkapital abzüglich Finanzmittel) geteilt durch das wirtschaftliche Eigenkapital, das Verhältnis zwischen der (Netto-)Verschuldung und dem als Deckung bereitstehenden Eigenkapital dar (siehe auch Ausführungen zu Gearing-brutto)</t>
  </si>
  <si>
    <t> = (P13249+P13251+(MAX(P13265,0))+(MAX(P13267,0))+P13199)*100/((BEDINGUNG WENN((P19131+P19132)&gt;0) DANN (P19131+P19132) SONST (P17111+P17112))-P13199)</t>
  </si>
  <si>
    <t>EBITDA*100/ (Zugänge Sachanlagen, als Finanzinvestition gehaltene Immobilien und biol. Vermögenswerte + Zugänge immaterielle Vermögensgegenstände./. plan. Abschr. auf Sachanlagen u. imm. Vermögenswerte)= EBITDA *100/ Nettoinvestitionen</t>
  </si>
  <si>
    <t> = (Betriebsergebnis - Brutto+Sonstige Zinsen und ähnliche Erträge+(MAX(Variable Freiposition,0))+(MAX(Variable Freiposition,0))+Planmäßige Abschreibungen auf Sachanlagen und immaterielle Vermögensgegenstände/-werte sowie auf Nutzungsrechte aus Leasingverhältnissen)*100/((BEDINGUNG WENN((Zugänge Sachanlagen, als Finanzinvestition gehaltene Immobilien und biol. Vermögenswerte+Zugänge immaterielle Vermögensgegenstände/-werte)&gt;0) DANN (Zugänge Sachanlagen, als Finanzinvestition gehaltene Immobilien und biol. Vermögenswerte+Zugänge immaterielle Vermögensgegenstände/-werte) SONST (Zugänge Grundstücke und Gebäude+Zugänge Sonstiges [Zugänge sonstiges Sachanlagevermögen + Zugänge immaterielle Vermögensgegenstände/-werte + Zugänge biologische Vermögenswerte - wenn als Anlagevermögen ausgewiesen]))-Planmäßige Abschreibungen auf Sachanlagen und immaterielle Vermögensgegenstände/-werte sowie auf Nutzungsrechte aus Leasingverhältnissen)</t>
  </si>
  <si>
    <t xml:space="preserve">Die Kennzahl gibt an, inwieweit der EBITDA als Maß für den betrieblichen Cashflow ausreicht, die Nettoinvestitionen zu decken, d.h. ob ausreichend Investitionen getätigt wurden, um die gegebene Substanz des Unternehmens aufrecht zu erhalten. Dies ist dann der Fall, wenn die Investitionen zumindest gleich groß wie die planmäßigen Abschreibungen auf das Sachanlagevermögen und auf die immateriellen Vermögenswerte sind. </t>
  </si>
  <si>
    <t>Kurzfristiges Betriebskapital zu Gesamtleistung</t>
  </si>
  <si>
    <t> = (P11379-P11369)*100/(P13059*12/P80084)</t>
  </si>
  <si>
    <t>(Umlaufvermögen ./. Finanzmittel)*100 / Gesamtleistung</t>
  </si>
  <si>
    <t> = (Umlaufvermögen - kurzfristige Vermögensgegenstände/-werte-Finanzmittel)*100/(Gesamtleistung *12/Bilanzierungsmonate)</t>
  </si>
  <si>
    <t>Netto-Finanzschulden zu EBDA</t>
  </si>
  <si>
    <t> = (P12249+P12369-P11369)/((P13349+P13199-P13541)*12/P80084)</t>
  </si>
  <si>
    <t>Netto-Finanzschulden / EBDA</t>
  </si>
  <si>
    <t> = (Langfristige Finanzschulden - zinstragend +Kurzfristige Finanzschulden - zinstragend-Finanzmittel)/((Betriebsergebnis vor Steuern vom Einkommen und Ertrag+Planmäßige Abschreibungen auf Sachanlagen und immaterielle Vermögensgegenstände/-werte sowie auf Nutzungsrechte aus Leasingverhältnissen-Steuern vom Einkommen und Ertrag)*12/Bilanzierungsmonate)</t>
  </si>
  <si>
    <t>Sachanlagen zu Abschreibungen auf Sachanlagen</t>
  </si>
  <si>
    <t> = P11049/(P13181*12/P80084)</t>
  </si>
  <si>
    <t>Sachanlagen / Abschreibungen auf Sachanlagen</t>
  </si>
  <si>
    <t> = Sachanlagen/(Planmäßige Abschreibungen auf Sachanlagen*12/Bilanzierungsmonate)</t>
  </si>
  <si>
    <t> = (P12249+P12369)/((P13349+P13199)*12/P80084)</t>
  </si>
  <si>
    <t xml:space="preserve">Brutto-Finanzschulden / EBTDA </t>
  </si>
  <si>
    <t> = (Langfristige Finanzschulden - zinstragend +Kurzfristige Finanzschulden - zinstragend)/((Betriebsergebnis vor Steuern vom Einkommen und Ertrag+Planmäßige Abschreibungen auf Sachanlagen und immaterielle Vermögensgegenstände/-werte sowie auf Nutzungsrechte aus Leasingverhältnissen)*12/Bilanzierungsmonate)</t>
  </si>
  <si>
    <t>Die Brutto-Verschuldungsdauer gibt an, wie oft der Cashflow des Geschäftsjahres verdient werden müsste, um die zinstragenden Schulden</t>
  </si>
  <si>
    <t>abzubauen, d.h. wie lange das Unternehmen braucht, um theoretisch schuldenfrei zu sein. Dies setzt allerdings voraus, dass der EBTDA als Cashflowgröße jeweils vollständig zur Schuldentilgung verwendet würde.</t>
  </si>
  <si>
    <t>Diese Kennzahl erlangt erst im Unternehmensvergleich entsprechende Aussagekraft.</t>
  </si>
  <si>
    <t>Verschuldungsdauer - netto</t>
  </si>
  <si>
    <t> = (P12249+P12369-P11369)/((P13349+P13199)*12/P80084)</t>
  </si>
  <si>
    <t>Netto-Finanzschulden / EBTDA</t>
  </si>
  <si>
    <t> = (Langfristige Finanzschulden - zinstragend +Kurzfristige Finanzschulden - zinstragend-Finanzmittel)/((Betriebsergebnis vor Steuern vom Einkommen und Ertrag+Planmäßige Abschreibungen auf Sachanlagen und immaterielle Vermögensgegenstände/-werte sowie auf Nutzungsrechte aus Leasingverhältnissen)*12/Bilanzierungsmonate)</t>
  </si>
  <si>
    <t>Die Netto-Verschuldungsdauer gibt an, wie oft bzw. wie viele Jahre der Cashflow des Geschäftsjahres verdient werden müsste, um die Netto-Verschuldung abzubauen. Die Nettoverschuldung wird berechnet, indem von den Finanzschulden die Finanzmittel des Umlaufvermögens abgezogen werden, da diese zur sofortigen Rückzahlung der Schulden eingesetzt werden könnten.</t>
  </si>
  <si>
    <t> = P11249*100/(P13059*12/P80084)</t>
  </si>
  <si>
    <t>Vorräte*100 / Gesamtleistung</t>
  </si>
  <si>
    <t> = Vorräte*100/(Gesamtleistung *12/Bilanzierungsmonate)</t>
  </si>
  <si>
    <t> = (P81444-P81532)/(P81537+P81538+P81535)</t>
  </si>
  <si>
    <t>Kapitaldienstgrenze (EBITDA ./. modifizierte EESt.) / Kapitaldienst (ZA + Tilgungen)</t>
  </si>
  <si>
    <t> = (EBITDA -Modifizierte Steuern vom Einkommen und Ertrag)/(Nachhaltige Zinsen (für Kapitaldienst)+Nachhaltige Tilgung von Finanzschulden+Nachhaltige Entnahmen / Ausschüttungen)</t>
  </si>
  <si>
    <t>Bei Unternehmen wird der Kapitaldienst dem Gewinn vor Zinsen und Steuern (EBITDA) bzw. dem Cashflow vor Zinsen und Tilgung einer Periode gegenübergestellt. EBITDA und Cashflow sind Messgrößen, aus denen der Kapitaldienst zu bestreiten ist. Je höher EBITDA oder Cashflow sind, umso leichter fällt es einem Unternehmen, den Schuldendienst zu leisten.</t>
  </si>
  <si>
    <t>Abschreibungen absolut</t>
  </si>
  <si>
    <t> = P13199+P13385+P13469</t>
  </si>
  <si>
    <t>Planmäßige + außerplanmäßige Abschreibungen</t>
  </si>
  <si>
    <t> = Planmäßige Abschreibungen auf Sachanlagen und immaterielle Vermögensgegenstände/-werte sowie auf Nutzungsrechte aus Leasingverhältnissen+Planmäßige Abschreibungen auf Geschäfts- oder Firmenwert (bei EK-minderndem Ansatz)+Außerplanmäßige Abschreibungen</t>
  </si>
  <si>
    <t>Abschreibungsquote</t>
  </si>
  <si>
    <t> = (P13199+P13385+P13469)*100/P13059</t>
  </si>
  <si>
    <t>(Planmäßige + außerplanmäßige Abschreibungen)*100 / Gesamtleistung</t>
  </si>
  <si>
    <t xml:space="preserve"> = (Planmäßige Abschreibungen auf Sachanlagen und immaterielle Vermögensgegenstände/-werte sowie auf Nutzungsrechte aus Leasingverhältnissen+Planmäßige Abschreibungen auf Geschäfts- oder Firmenwert (bei EK-minderndem Ansatz)+Außerplanmäßige Abschreibungen)*100/Gesamtleistung </t>
  </si>
  <si>
    <t>Brutto-Finanzschulden</t>
  </si>
  <si>
    <t> = P12249+P12369</t>
  </si>
  <si>
    <t>Langfristige Finanzschulden + kurzfristige Finanzschulden</t>
  </si>
  <si>
    <t> = Langfristige Finanzschulden - zinstragend +Kurzfristige Finanzschulden - zinstragend</t>
  </si>
  <si>
    <t>Finanzschulden stellen Verbindlichkeiten dar, für die Zinsen als Entgelt der Kapitalüberlassung zu entrichten sind (zinstragende Verbindlichkeiten). Hierunter fallen begebene Anleihen, Verbindlichkeiten gegenüber Kreditinstituten, Verbindlichkeiten aus Finanzierungsleasingverträgen sowie Schulden gegenüber verbundenen und beteiligten Unternehmen, sofern hierfür Zinsen zu entrichten sind, und sonstige Finanzschulden.</t>
  </si>
  <si>
    <t xml:space="preserve">Brutto-Finanzverschuldung </t>
  </si>
  <si>
    <t> = (P12249+P12369)*100/P11500</t>
  </si>
  <si>
    <t>Langfristige + kurzfristige Finanzschulden)*100 / Bilanzsumme-bereinigt</t>
  </si>
  <si>
    <t> = (Langfristige Finanzschulden - zinstragend +Kurzfristige Finanzschulden - zinstragend)*100/Bilanzsumme - bereinigt (AKTIVA)</t>
  </si>
  <si>
    <t>Werden die Finanzschulden (langfristige und kurzfristige) ins Verhältnis zur Bilanzsumme gesetzt, können entsprechende Analysen im Rahmen</t>
  </si>
  <si>
    <t>von Peer-Group-Vergleichen vorgenommen werden. Je höher die Finanzschulden im Verhältnis zur Bilanzsumme (auch zu dem gesamten Fremdkapital) sind, desto teurer ist die Refinanzierung des Unternehmens. Es besteht eine schlechtere Finanzierungsaufwandssituation des zu analysierenden Unternehmens gegenüber Unternehmen mit entsprechend niedrigeren Finanzschulden.</t>
  </si>
  <si>
    <t>Capex zu Abschreibungen</t>
  </si>
  <si>
    <t> = (BEDINGUNG WENN((P19131+P19132)&gt;0) DANN (P19131+P19132) SONST (P17111+P17112)) * 100 / P13199</t>
  </si>
  <si>
    <t>(Capital Expenditure; Investitionen in Sachanlagen und immaterielles Anlagevermögen - ohne Goodwill): (Zugänge Sachanlagen, als Finanzinvestition gehaltene Immobilien und biol. Vermögenswerte + Zugänge immaterielle Vermögensgegenstände)*100/ plan. Abschr. auf Sachanlagen und imm. Vermögenswerte)</t>
  </si>
  <si>
    <t> = (BEDINGUNG WENN((Zugänge Sachanlagen, als Finanzinvestition gehaltene Immobilien und biol. Vermögenswerte+Zugänge immaterielle Vermögensgegenstände/-werte)&gt;0) DANN (Zugänge Sachanlagen, als Finanzinvestition gehaltene Immobilien und biol. Vermögenswerte+Zugänge immaterielle Vermögensgegenstände/-werte) SONST (Zugänge Grundstücke und Gebäude+Zugänge Sonstiges [Zugänge sonstiges Sachanlagevermögen + Zugänge immaterielle Vermögensgegenstände/-werte + Zugänge biologische Vermögenswerte - wenn als Anlagevermögen ausgewiesen])) * 100 / Planmäßige Abschreibungen auf Sachanlagen und immaterielle Vermögensgegenstände/-werte sowie auf Nutzungsrechte aus Leasingverhältnissen</t>
  </si>
  <si>
    <t>Das Capex als absolute Größe zeigt die Summe der vom Unternehmen im Geschäftsjahr vorgenommenen Investitionen in das Sachanlagevermögen sowie in das immaterielle Anlagevermögen auf, wobei Geschäfts- oder Firmenwerte nicht berücksichtigt werden. Durch die Verhältnissetzung zu den korrespondierenden planmäßigen Abschreibungen auf Sachanlagen und immateriellen Vermögenswerten kann bei Kennzahlenwerten größer 100% abgelesen werden, dass mehr Investitionen getätigt wurden als durch die zeitliche Abnutzung des entsprechenden Anlagevermögens verzehrt wurde. Somit wurde mindestens der Substanzerhalt des Unternehmens ermöglicht. Werte unter 100% signalisieren einen Substanzverlust.</t>
  </si>
  <si>
    <t>EBDA (Netto-Cashflow)</t>
  </si>
  <si>
    <t> = (P13349+P13199-P13541)</t>
  </si>
  <si>
    <t xml:space="preserve">Betriebsergebnis nach Ertragsteuern und vor Abschreibungen </t>
  </si>
  <si>
    <t> = (Betriebsergebnis vor Steuern vom Einkommen und Ertrag+Planmäßige Abschreibungen auf Sachanlagen und immaterielle Vermögensgegenstände/-werte sowie auf Nutzungsrechte aus Leasingverhältnissen-Steuern vom Einkommen und Ertrag)</t>
  </si>
  <si>
    <t>EBDA-Marge</t>
  </si>
  <si>
    <t> = (P13349+P13199-P13541)*100/P13059</t>
  </si>
  <si>
    <t>EBDA*100 / Gesamtleistung</t>
  </si>
  <si>
    <t xml:space="preserve"> = (Betriebsergebnis vor Steuern vom Einkommen und Ertrag+Planmäßige Abschreibungen auf Sachanlagen und immaterielle Vermögensgegenstände/-werte sowie auf Nutzungsrechte aus Leasingverhältnissen-Steuern vom Einkommen und Ertrag)*100/Gesamtleistung </t>
  </si>
  <si>
    <t>EBIT (Bruttobetriebsergebnis)</t>
  </si>
  <si>
    <t> = P13249+P13251+(MAX(P13265,0))+(MAX(P13267,0))</t>
  </si>
  <si>
    <t>Betriebsergebnis vor Ertragsteuern und Zinsaufwendungen</t>
  </si>
  <si>
    <t> = Betriebsergebnis - Brutto+Sonstige Zinsen und ähnliche Erträge+(MAX(Variable Freiposition,0))+(MAX(Variable Freiposition,0))</t>
  </si>
  <si>
    <t>Das EBIT ist eine Kennzahl zur Beurteilung der operativen Ertragskraft eines Unternehmens. Es zeigt auf, welches Ergebnis das Unternehmen vor Zinsaufwand und Beteiligungsergebnis und vor Abzug von Ertragsteuern nachhaltig erwirtschaftet. Das EBIT ermöglicht den länderübergreifenden Vergleich von Unternehmen hinsichtlich ihrer operativen Ertragskraft, unabhängig von der individuellen Kapitalstruktur oder der Investitionsneigung.</t>
  </si>
  <si>
    <t>EBITDAR</t>
  </si>
  <si>
    <t> = P13249+P13251+(MAX(P13265,0))+(MAX(P13267,0))+P13199+P13205+P13206</t>
  </si>
  <si>
    <t>Betriebsergebnis vor Ertragsteuern, vor Zinsaufwendungen, vor Abschreibungen, vor Mietzahlungen</t>
  </si>
  <si>
    <t> = Betriebsergebnis - Brutto+Sonstige Zinsen und ähnliche Erträge+(MAX(Variable Freiposition,0))+(MAX(Variable Freiposition,0))+Planmäßige Abschreibungen auf Sachanlagen und immaterielle Vermögensgegenstände/-werte sowie auf Nutzungsrechte aus Leasingverhältnissen+davon Aufwendungen für Immobilien (Miete, Pacht, Leasing)+davon Aufwendungen für Mobilien (Miete, Pacht, Leasing)</t>
  </si>
  <si>
    <t>EBITDAR-Marge</t>
  </si>
  <si>
    <t> = (P13249+P13251+(MAX(P13265,0))+(MAX(P13267,0))+P13199+P13205+P13206)*100/P13059</t>
  </si>
  <si>
    <t>EBITDAR-Marge: EBITDAR*100 / Gesamtleistung</t>
  </si>
  <si>
    <t xml:space="preserve"> = (Betriebsergebnis - Brutto+Sonstige Zinsen und ähnliche Erträge+(MAX(Variable Freiposition,0))+(MAX(Variable Freiposition,0))+Planmäßige Abschreibungen auf Sachanlagen und immaterielle Vermögensgegenstände/-werte sowie auf Nutzungsrechte aus Leasingverhältnissen+davon Aufwendungen für Immobilien (Miete, Pacht, Leasing)+davon Aufwendungen für Mobilien (Miete, Pacht, Leasing))*100/Gesamtleistung </t>
  </si>
  <si>
    <t>EBT (Betriebsergebnis vor Steuern)</t>
  </si>
  <si>
    <t> = P13349</t>
  </si>
  <si>
    <t>Betriebsergebnis vor Ertragsteuern</t>
  </si>
  <si>
    <t> = Betriebsergebnis vor Steuern vom Einkommen und Ertrag</t>
  </si>
  <si>
    <t xml:space="preserve">EBTDA (Brutto-Cashflow) </t>
  </si>
  <si>
    <t> = P13349+P13199</t>
  </si>
  <si>
    <t>Betriebsergebnis vor Ertragsteuern und Abschreibungen</t>
  </si>
  <si>
    <t> = Betriebsergebnis vor Steuern vom Einkommen und Ertrag+Planmäßige Abschreibungen auf Sachanlagen und immaterielle Vermögensgegenstände/-werte sowie auf Nutzungsrechte aus Leasingverhältnissen</t>
  </si>
  <si>
    <t>Die absolute Ertragskennzahl EBTDA beschreibt das operative Ergebnis vor Ertragsteuern und Abschreibungen. Sie stellt eine vereinfachte Form des Cashflows dar und entspricht der herkömmlichen Kennzahl „Cashflow“ in FBS.</t>
  </si>
  <si>
    <t xml:space="preserve">EBITDA </t>
  </si>
  <si>
    <t> = P13249+P13251+(MAX(P13265,0))+(MAX(P13267,0))+P13199</t>
  </si>
  <si>
    <t>Betriebsergebnis vor Ertragsteuern, Zinsaufwendungen und Abschreibungen</t>
  </si>
  <si>
    <t> = Betriebsergebnis - Brutto+Sonstige Zinsen und ähnliche Erträge+(MAX(Variable Freiposition,0))+(MAX(Variable Freiposition,0))+Planmäßige Abschreibungen auf Sachanlagen und immaterielle Vermögensgegenstände/-werte sowie auf Nutzungsrechte aus Leasingverhältnissen</t>
  </si>
  <si>
    <t>Die absolute Ertragskennzahl EBITDA beschreibt das operative Ergebnis vor Zinsen, Ertragsteuern und Abschreibungen, welche unregelmäßige Effekte ausschließt. Es wird eine hohe Vergleichbarkeit auf internationaler Ebene gewährleistet, da sowohl der Verschuldungsgrad als auch national unterschiedliche Steuerbelastungen bei dieser Approximation des Cashflows eliminiert werden. Die Kennzahl gilt als Maßstab für die Kapitaldienstfähigkeit und Ausschüttungskraft eines Unternehmens.</t>
  </si>
  <si>
    <t>Investitionen</t>
  </si>
  <si>
    <t> = BEDINGUNG WENN((P19131+P19132)&gt;0) DANN (P19131+P19132) SONST (P17111+P17112)</t>
  </si>
  <si>
    <t>Zugänge Sachanlagen, als Finanzinvestition gehaltene Immobilien und biol. Vermögenswerte + Zugänge immaterielle Vermögensgegenstän-de</t>
  </si>
  <si>
    <t> = BEDINGUNG WENN((Zugänge Sachanlagen, als Finanzinvestition gehaltene Immobilien und biol. Vermögenswerte+Zugänge immaterielle Vermögensgegenstände/-werte)&gt;0) DANN (Zugänge Sachanlagen, als Finanzinvestition gehaltene Immobilien und biol. Vermögenswerte+Zugänge immaterielle Vermögensgegenstände/-werte) SONST (Zugänge Grundstücke und Gebäude+Zugänge Sonstiges [Zugänge sonstiges Sachanlagevermögen + Zugänge immaterielle Vermögensgegenstände/-werte + Zugänge biologische Vermögenswerte - wenn als Anlagevermögen ausgewiesen])</t>
  </si>
  <si>
    <t>Die Investitionen zeigen den Bruttozugang der Investitionen. Diese Angabe wird für die Berechnung des Cashflows auf Investitionstätigkeit in der Kapitalflussrechnung benötigt.</t>
  </si>
  <si>
    <t>Netto-Finanzschulden</t>
  </si>
  <si>
    <t> = P12249+P12369-P11369</t>
  </si>
  <si>
    <t>Brutto-Finanzschulden ./. Finanzmittel</t>
  </si>
  <si>
    <t> = Langfristige Finanzschulden - zinstragend +Kurzfristige Finanzschulden - zinstragend-Finanzmittel</t>
  </si>
  <si>
    <t>Bei den Netto-Finanzschulden werden zusätzlich von den Brutto-Finanzschulden die Finanzmittel (z.B. Bankguthaben, liquide Wertpapiere) abgezogen. Die so ermittelte Finanzverschuldung weist die um die liquiden Vermögensteile bereinigte, offen verzinsliche Schuldenlast eines Unternehmens aus.</t>
  </si>
  <si>
    <t>Netto-Finanzverschuldung</t>
  </si>
  <si>
    <t> = (P12249+P12369-P11369)*100/(P11500-P11369)</t>
  </si>
  <si>
    <t> = (Langfristige Finanzschulden - zinstragend +Kurzfristige Finanzschulden - zinstragend-Finanzmittel)*100/(Bilanzsumme - bereinigt (AKTIVA)-Finanzmittel)</t>
  </si>
  <si>
    <t>Bei den Netto-Finanzschulden werden zusätzlich von den Brutto-Finanzschulden die Finanzmittel (z. B. Bankguthaben, liquide Wertpapiere) abgezogen. Die so ermittelte Finanzverschuldung weist die um die liquiden Vermögensteile bereinigte, offen verzinsliche Schuldenlast eines Unternehmens aus. In der Relativsetzung zur Bilanzsumme ist auch die Bilanzsumme um die Finanzmittel zu bereinigen.</t>
  </si>
  <si>
    <t>Rendite auf das eingesetzte Kapital (ROCE)</t>
  </si>
  <si>
    <t> = ((P13249+P13251+ABS(MAX(P13265,0))+ABS(MAX(P13267,0)))*12/P80084*100)/((P11189+P11291+P11249+P11298+P11315+P11317+P11328+P11331+P11345+P11347+P11419+P11459)-(P12371+P12373+P12375+P12376+P12329+P12380+P12387+P12395+P12397+P12449))</t>
  </si>
  <si>
    <t>EBIT *100/ (Anlagevermögen + Betriebsnotwendiges Netto-Umlaufvermögen)</t>
  </si>
  <si>
    <t> = ((Betriebsergebnis - Brutto+Sonstige Zinsen und ähnliche Erträge+ABS(MAX(Variable Freiposition,0))+ABS(MAX(Variable Freiposition,0)))*12/Bilanzierungsmonate*100)/((Anlagevermögen +Forderungen aus Lieferungen und Leistungen+Vorräte+Sonstige Vermögensgegenstände/-werte+Variable Freiposition+Variable Freiposition+Anteile an verbundenen Unternehmen (UV)+Sonstige Wertpapiere des UV+Variable Freiposition+Variable Freiposition+Summe Aktivische Rechnungsabgrenzungsposten+Summe Aktiver Unterschiedsbetrag aus der Vermögensverrechnung )-(Verbindlichkeiten aus Lieferungen und Leistungen bis 1 Jahr+Wechselverbindlichkeiten+Verbindlichkeiten gegenüber Beteiligungsunternehmen bis 1 Jahr+Erhaltene Anzahlungen (vertragliche Verbindlichkeiten) bis 1 Jahr+Kurzfristige Rückstellungen+Sonstige kurzfristige Verbindlichkeiten+Geplante Gewinnausschüttung+Variable Freiposition+Variable Freiposition+Summe Passivische Rechnungsabgrenzungsposten ))</t>
  </si>
  <si>
    <t>Der Return on Capital Employed (ROCE) zeigt die Gesamtrendite des Unternehmens und ist das Verhältnis des Betriebsergebnisses zum durchschnittlichen Geschäftsvermögen (Capital Employed).</t>
  </si>
  <si>
    <t> = P13099*100/P13059</t>
  </si>
  <si>
    <t>Rohergebnis*100/ Gesamtleistung</t>
  </si>
  <si>
    <t xml:space="preserve"> = betriebswirtschaftliches Rohergebnis*100/Gesamtleistung </t>
  </si>
  <si>
    <t>Die Rohertragsmarge zeigt die Relation zwischen Umsatzerlösen einerseits sowie dem Materialaufwand andererseits. Damit kann beispielsweise unter anderem gezeigt werden, inwieweit es dem Unternehmen gelingt, steigende Materialaufwendungen weiter zu belasten.</t>
  </si>
  <si>
    <t>Beim Umsatzkostenverfahren werden alternativ zur Gesamtleistung die Umsatzerlöse herangezogen.</t>
  </si>
  <si>
    <t> = (P13049*12/P80084)/(P12309+P12409)</t>
  </si>
  <si>
    <t> = (Summe Umsatzerlöse*12/Bilanzierungsmonate)/(Langfristiges Kapital+Kurzfristiges Fremdkapital)</t>
  </si>
  <si>
    <t>Das Verhältnis Umsatzerlöse zu Gesamtkapital besagt, wie oft das Gesamtkapital in einem Geschäftsjahr umgesetzt wird. Es gibt Hinweise auf</t>
  </si>
  <si>
    <t>die Bindungsdauer des Vermögens und die Intensität der Nutzung von Vermögensgegenständen. Je höher die Kapitalumschlagskennzahl ist, um so geringer wird die Kapitalbindungsdauer und damit die Höhe des betriebsbedingten Kapitals.</t>
  </si>
  <si>
    <t> = (P11291+P11249+P11298+P11315+P11317+P11328+P11331+P11345+P11347+P11419+P11459)*100/ (P12371+P12373+P12375+P12376+P12329+P12380+P12387+P12395+P12397+P12449)</t>
  </si>
  <si>
    <t>Umlaufvermögen*100 / kurzfristiges Fremdkapital</t>
  </si>
  <si>
    <t> = (Forderungen aus Lieferungen und Leistungen+Vorräte+Sonstige Vermögensgegenstände/-werte+Variable Freiposition+Variable Freiposition+Anteile an verbundenen Unternehmen (UV)+Sonstige Wertpapiere des UV+Variable Freiposition+Variable Freiposition+Summe Aktivische Rechnungsabgrenzungsposten+Summe Aktiver Unterschiedsbetrag aus der Vermögensverrechnung )*100/ (Verbindlichkeiten aus Lieferungen und Leistungen bis 1 Jahr+Wechselverbindlichkeiten+Verbindlichkeiten gegenüber Beteiligungsunternehmen bis 1 Jahr+Erhaltene Anzahlungen (vertragliche Verbindlichkeiten) bis 1 Jahr+Kurzfristige Rückstellungen+Sonstige kurzfristige Verbindlichkeiten+Geplante Gewinnausschüttung+Variable Freiposition+Variable Freiposition+Summe Passivische Rechnungsabgrenzungsposten )</t>
  </si>
  <si>
    <t>Diese Kennzahl berechnet den Anteil des Umlaufvermögens am kurzfristigen Fremdkapital und zeigt dadurch, in welcher Höhe das kurzfristige Fremdkapital durch das Umlaufvermögen gedeckt ist. Aus dieser Kennzahl wird der Schluss gezogen, dass die zukünftige Liquiditätslage um so gesicherter ist, je höher das Working Capital ist.</t>
  </si>
  <si>
    <t>Net Working Capital Effizienz Quote</t>
  </si>
  <si>
    <t> = ((P11291+P11249+P11298+P11315+P11317+P11328+P11331+P11345+P11347+P11419+P11459)-(P12371+P12373+P12375+P12376+P12329+P12380+P12387+P12395+P12397+P12449))*100/(P13049*12/P80084)</t>
  </si>
  <si>
    <t>[(Umlaufvermögen ./. Finanzmittel) ./. (kurzfristige Rückstellungen + tatsächliche Steuerschulden + kurzfristige Verbindlichkeiten-nicht zinstragend)]*100 / Umsatzerlöse</t>
  </si>
  <si>
    <t> = ((Forderungen aus Lieferungen und Leistungen+Vorräte+Sonstige Vermögensgegenstände/-werte+Variable Freiposition+Variable Freiposition+Anteile an verbundenen Unternehmen (UV)+Sonstige Wertpapiere des UV+Variable Freiposition+Variable Freiposition+Summe Aktivische Rechnungsabgrenzungsposten+Summe Aktiver Unterschiedsbetrag aus der Vermögensverrechnung )-(Verbindlichkeiten aus Lieferungen und Leistungen bis 1 Jahr+Wechselverbindlichkeiten+Verbindlichkeiten gegenüber Beteiligungsunternehmen bis 1 Jahr+Erhaltene Anzahlungen (vertragliche Verbindlichkeiten) bis 1 Jahr+Kurzfristige Rückstellungen+Sonstige kurzfristige Verbindlichkeiten+Geplante Gewinnausschüttung+Variable Freiposition+Variable Freiposition+Summe Passivische Rechnungsabgrenzungsposten ))*100/(Summe Umsatzerlöse*12/Bilanzierungsmonate)</t>
  </si>
  <si>
    <t>Das Verhältnis bereinigtes Nettoumlaufvermögen zu Umsatzerlösen besagt, wie effizient das Betriebsumlaufvermögen und die kurzfristigen Verbindlichkeiten verwaltet werden. Je höher die Kennzahl ist, desto abhängiger ist das Unternehmen im Rahmen seiner Betriebsmittel-</t>
  </si>
  <si>
    <t>Bewirtschaftung von der Finanzierung durch zinstragende Verbindlichkeiten (fristenkongruente Finanzierung unterstellt). Anders gesagt kann diese</t>
  </si>
  <si>
    <t xml:space="preserve">Kennzahl ein Anhaltspunkt für die Bemessung der Höhe der notwendigen Betriebsmittel-Kreditlinie darstellen. </t>
  </si>
  <si>
    <t>Sachanlagenumschlag</t>
  </si>
  <si>
    <t> = (P13049*12/P80084)/P11049</t>
  </si>
  <si>
    <t>Umsatzerlöse / Sachanlagen</t>
  </si>
  <si>
    <t> = (Summe Umsatzerlöse*12/Bilanzierungsmonate)/Sachanlagen</t>
  </si>
  <si>
    <t xml:space="preserve">Die Kennzahl "Sachanlagenumschlag" zeigt an, mit welchem Vermögenseinsatz ein Unternehmen seinen Umsatz erzielt hat. </t>
  </si>
  <si>
    <t>Nettoumlaufvermögen (ohne Steuerposten)</t>
  </si>
  <si>
    <t> = (P11249+P11291+P11298+P11315+P11317+P11328+P11331+P11345+P11347+P11419+P11459)-(P12329+P12371+P12373+P12375+P12376+P12380+P12387+P12395+P12397+P12449)</t>
  </si>
  <si>
    <t xml:space="preserve">(Forderungen aus Lieferungen und Leistungen+Vorräte + Biologische Vermögenswerte (UV)+Sonstige Vermögenswerte/-gegenstände+Akkumulierte Abschreibungen +Sonstige Wertpapiere des UV +Abgehende Vermögenswerte +Aktivische Rechnungsabgrenzungsposten + Aktiver Unterschiedsbetrag aus der Vermögensverrechnung)-(Verbindlichkeiten aus Lieferungen und Leistungen bis 1 Jahr+Erhaltene Anzahlungen bis 1 Jahr+Verpflichtungen aus Auftragsfertigung nach PoC bis 1 Jahr+Kurzfristige Rückstellungen +Sonstige kurzfristige Verbindlichkeiten+Abgehende Schulden + Passivische Rechnungsabgrenzungsposten) </t>
  </si>
  <si>
    <t> = (Vorräte+Forderungen aus Lieferungen und Leistungen+Sonstige Vermögensgegenstände/-werte+Variable Freiposition+Variable Freiposition+Anteile an verbundenen Unternehmen (UV)+Sonstige Wertpapiere des UV+Variable Freiposition+Variable Freiposition+Summe Aktivische Rechnungsabgrenzungsposten+Summe Aktiver Unterschiedsbetrag aus der Vermögensverrechnung )-(Kurzfristige Rückstellungen+Verbindlichkeiten aus Lieferungen und Leistungen bis 1 Jahr+Wechselverbindlichkeiten+Verbindlichkeiten gegenüber Beteiligungsunternehmen bis 1 Jahr+Erhaltene Anzahlungen (vertragliche Verbindlichkeiten) bis 1 Jahr+Sonstige kurzfristige Verbindlichkeiten+Geplante Gewinnausschüttung+Variable Freiposition+Variable Freiposition+Summe Passivische Rechnungsabgrenzungsposten )</t>
  </si>
  <si>
    <t>Das Nettoumlaufvermögen erlaubt es, den Nettofinanzbedarf zur Finanzierung kurzfristiger Aktiva zu ermitteln. Es ist definiert als das Kapital, das für ein Unternehmen Umsatz generiert, ohne Kapitalkosten im engeren Sinne zu verursachen. Es berechnet sich aus dem Umlaufvermögen abzüglich der liquiden Mittel abzüglich der Verbindlichkeiten aus Lieferungen und Leistungen. Ein negatives Net Working Capital bedeutet, dass Lieferanten Umsätze vorfinanzieren.</t>
  </si>
  <si>
    <t>Net-Working-Capital-Cash-Effekt</t>
  </si>
  <si>
    <t> = ((((P11291_{-1}+P11249_{-1}+P11298_{-1}+P11315_{-1}+P11317_{-1}+P11328_{-1}+P11331_{-1}+P11345_{-1}+P11347_{-1}+P11419_{-1}+P11459_{-1})-(P12371_{-1}+P12373_{-1}+P12375_{-1}+P12376_{-1}+P12329_{-1}+P12380_{-1}+P12387_{-1}+P12395_{-1}+P12397_{-1}+P12449_{-1}))*100/(P13049_{-1}*12/P80084_{-1}))-((( P11291+P11249+P11298+P11315+P11317+P11328+P11331+P11345+P11347+P11419+P11459)-(P12371+P12373+P12375+P12376+P12329+P12380+P12387+P12395+P12397+P12449))*100/(P13049*12/P80084)))*P13049*(12/P80084)/100</t>
  </si>
  <si>
    <t>(Net Working Capital Effizienz Quote VJ ./. Net Working Capital Effizienz Quote) * Umsatzerlöse / 100</t>
  </si>
  <si>
    <t> = ((((Forderungen aus Lieferungen und Leistungen_{-1}+Vorräte_{-1}+Sonstige Vermögensgegenstände/-werte_{-1}+Variable Freiposition_{-1}+Variable Freiposition_{-1}+Anteile an verbundenen Unternehmen (UV)_{-1}+Sonstige Wertpapiere des UV_{-1}+Variable Freiposition_{-1}+Variable Freiposition_{-1}+Summe Aktivische Rechnungsabgrenzungsposten_{-1}+Summe Aktiver Unterschiedsbetrag aus der Vermögensverrechnung _{-1})-(Verbindlichkeiten aus Lieferungen und Leistungen bis 1 Jahr_{-1}+Wechselverbindlichkeiten_{-1}+Verbindlichkeiten gegenüber Beteiligungsunternehmen bis 1 Jahr_{-1}+Erhaltene Anzahlungen (vertragliche Verbindlichkeiten) bis 1 Jahr_{-1}+Kurzfristige Rückstellungen_{-1}+Sonstige kurzfristige Verbindlichkeiten_{-1}+Geplante Gewinnausschüttung_{-1}+Variable Freiposition_{-1}+Variable Freiposition_{-1}+Summe Passivische Rechnungsabgrenzungsposten _{-1}))*100/(Summe Umsatzerlöse_{-1}*12/Bilanzierungsmonate_{-1}))-((( Forderungen aus Lieferungen und Leistungen+Vorräte+Sonstige Vermögensgegenstände/-werte+Variable Freiposition+Variable Freiposition+Anteile an verbundenen Unternehmen (UV)+Sonstige Wertpapiere des UV+Variable Freiposition+Variable Freiposition+Summe Aktivische Rechnungsabgrenzungsposten+Summe Aktiver Unterschiedsbetrag aus der Vermögensverrechnung )-(Verbindlichkeiten aus Lieferungen und Leistungen bis 1 Jahr+Wechselverbindlichkeiten+Verbindlichkeiten gegenüber Beteiligungsunternehmen bis 1 Jahr+Erhaltene Anzahlungen (vertragliche Verbindlichkeiten) bis 1 Jahr+Kurzfristige Rückstellungen+Sonstige kurzfristige Verbindlichkeiten+Geplante Gewinnausschüttung+Variable Freiposition+Variable Freiposition+Summe Passivische Rechnungsabgrenzungsposten ))*100/(Summe Umsatzerlöse*12/Bilanzierungsmonate)))*Summe Umsatzerlöse*(12/Bilanzierungsmonate)/100</t>
  </si>
  <si>
    <t>Der Net-Working-Capital-Cash-Effekt im Vergleich zum Vorjahr gibt an, um welchen Betrag sich das Net working capital relativ zu den Umsatzerlösen verändert hat.</t>
  </si>
  <si>
    <t>Umsatzverlustpotenzial</t>
  </si>
  <si>
    <t> = P13349*100/(P13049-P13089)</t>
  </si>
  <si>
    <t>EBT*100/(Umsatzerlöse ./. Materialaufwand)</t>
  </si>
  <si>
    <t> = Betriebsergebnis vor Steuern vom Einkommen und Ertrag*100/(Summe Umsatzerlöse-Materialaufwand)</t>
  </si>
  <si>
    <t>Die Kennzahl "Umsatzverlustpotential" gibt an, welchen Umsatzrückgang ein Unternehmen kompensieren kann, bevor die Verlustzone erreicht wird.</t>
  </si>
  <si>
    <t>Erweiterter Cashflow nach Steuern</t>
  </si>
  <si>
    <t> = P13349-P13541+P13253+P13255+ABS(MIN(P13265,0))+ABS(MIN(P13267,0))+P13199</t>
  </si>
  <si>
    <t> = Betriebsergebnis vor Steuern vom Einkommen und Ertrag-Steuern vom Einkommen und Ertrag+Zinsen und ähnliche Aufwendungen+Zinsaufwand für Gesellschafterdarlehen+ABS(MIN(Variable Freiposition,0))+ABS(MIN(Variable Freiposition,0))+Planmäßige Abschreibungen auf Sachanlagen und immaterielle Vermögensgegenstände/-werte sowie auf Nutzungsrechte aus Leasingverhältnissen</t>
  </si>
  <si>
    <t>Einlage/Kapitalerhöhung</t>
  </si>
  <si>
    <t> = (BEDINGUNG WENN(P19153&gt;0) DANN(P19153) SONST(P17311))</t>
  </si>
  <si>
    <t> = (BEDINGUNG WENN((Nachhaltige) Kapitalerhöhung/ Einlagen&gt;0) DANN((Nachhaltige) Kapitalerhöhung/ Einlagen) SONST(Kapitalerhöhung/Einlagen))</t>
  </si>
  <si>
    <t>Entnahmen/Gewinnausschüttung</t>
  </si>
  <si>
    <t> = (BEDINGUNG WENN(P19154&gt;0) DANN(P19154) SONST(P17312+P17313))+(BEDINGUNG WENN(P19155&gt;0) DANN(P19155) SONST(P17316))</t>
  </si>
  <si>
    <t> = (BEDINGUNG WENN((Nachhaltige) Kapitalherabsetzung/ Entnahmen&gt;0) DANN((Nachhaltige) Kapitalherabsetzung/ Entnahmen) SONST(Entnahmen für Steuern+Sonstige Entnahmen))+(BEDINGUNG WENN((Nachhaltige) Gewinnausschüttung&gt;0) DANN((Nachhaltige) Gewinnausschüttung) SONST(Gewinnausschüttung))</t>
  </si>
  <si>
    <t>Eigenmitteleinsatz für Ersatzinvestitionen</t>
  </si>
  <si>
    <t> = (P13199*P19157)/100</t>
  </si>
  <si>
    <t>Planmäßige Abschreibungen auf Sachanlagen und immaterielle Vermögenswerte * individueller Prozentsatz / 100</t>
  </si>
  <si>
    <t> = (Planmäßige Abschreibungen auf Sachanlagen und immaterielle Vermögensgegenstände/-werte sowie auf Nutzungsrechte aus Leasingverhältnissen*Eigenmitteleinsatz für Ersatzinvestitionen in % der Abschreibungen)/100</t>
  </si>
  <si>
    <t>Kapitaldienstgrenze</t>
  </si>
  <si>
    <t> = P81501+P81502-P81503-P81504</t>
  </si>
  <si>
    <t> = Erweiterter Cashflow nach Steuern+Einlage/Kapitalerhöhung-Entnahmen/Gewinnausschüttung-Eigenmitteleinsatz für Ersatzinvestitionen</t>
  </si>
  <si>
    <t>Zinsen u. ähnliche Aufwendungen</t>
  </si>
  <si>
    <t> = BEDINGUNG WENN(P19160&gt;0) DANN (P19160) SONST(P13253+P13255+ABS(MIN(P13265,0))+ABS(MIN(P13267,0)))</t>
  </si>
  <si>
    <t> = BEDINGUNG WENN((Nachhaltige) Zinsaufwendungen&gt;0) DANN ((Nachhaltige) Zinsaufwendungen) SONST(Zinsen und ähnliche Aufwendungen+Zinsaufwand für Gesellschafterdarlehen+ABS(MIN(Variable Freiposition,0))+ABS(MIN(Variable Freiposition,0)))</t>
  </si>
  <si>
    <t>Tilgung langfristige Verbindlichkeiten</t>
  </si>
  <si>
    <t> = BEDINGUNG WENN(P19161&gt;0) DANN (P19161) SONST(P19151)</t>
  </si>
  <si>
    <t> = BEDINGUNG WENN((Nachhaltige) Tilgung von Finanzschulden&gt;0) DANN ((Nachhaltige) Tilgung von Finanzschulden) SONST(Tilgung von Finanzschulden)</t>
  </si>
  <si>
    <t>Liquiditätsüberschuss</t>
  </si>
  <si>
    <t> = P81505-P81506-P81507</t>
  </si>
  <si>
    <t> = Kapitaldienstgrenze-Zinsen u. ähnliche Aufwendungen-Tilgung langfristige Verbindlichkeiten</t>
  </si>
  <si>
    <t>Auslastung der Kapitaldienstgrenze in %</t>
  </si>
  <si>
    <t> = (P81506+P81507) * 100 /P81505</t>
  </si>
  <si>
    <t>Kapitaldienst (Zinsen + Tilgung) X 100 / Kapitaldienstgrenze</t>
  </si>
  <si>
    <t> = (Zinsen u. ähnliche Aufwendungen+Tilgung langfristige Verbindlichkeiten) * 100 /Kapitaldienstgrenze</t>
  </si>
  <si>
    <t>Zur Info: Saldo aus Ergebnis-Abführungsverträgen (EAV) bei Tochterunternehmen</t>
  </si>
  <si>
    <t> = P13551-P13552</t>
  </si>
  <si>
    <t> = Erträge aus Verlustübernahmeverträgen (bei Tochtergesellschaft)-Aufwendungen aus Gewinnabführungsverträgen (bei Tochtergesellschaft)</t>
  </si>
  <si>
    <t>Kapitaldienstfähigkeit</t>
  </si>
  <si>
    <t xml:space="preserve">+ </t>
  </si>
  <si>
    <t xml:space="preserve">- </t>
  </si>
  <si>
    <t xml:space="preserve"> = </t>
  </si>
  <si>
    <t>Individuelle Kennzahlen</t>
  </si>
  <si>
    <t>Bewegungsbilanz</t>
  </si>
  <si>
    <t>Finanzanalyse</t>
  </si>
  <si>
    <t>Betriebstätigkeit</t>
  </si>
  <si>
    <t>Schnitt</t>
  </si>
  <si>
    <t>+ Erträge aus abgeschriebenen Forderungen</t>
  </si>
  <si>
    <t>- Einstellung in die EWB, Forderungsverluste</t>
  </si>
  <si>
    <t>+ Abbau/ - Aufbau Forderungen aus Lieferungen und Leistungen</t>
  </si>
  <si>
    <t>+ Abbau/ - Aufbau Forderungen ggü. Beteiligungsunternehmen</t>
  </si>
  <si>
    <t>+ Aufbau/- Abbau Erhaltene Anzahlungen (vertragliche Verbindlichkeiten) &gt; 1 Jahr</t>
  </si>
  <si>
    <t>+ Aufbau/-Abbau Erhaltene Anzahlungen (vertragliche Verbindlichkeiten) bis 1 Jahr</t>
  </si>
  <si>
    <t>-9,3</t>
  </si>
  <si>
    <t> = Umsatzeinnahmen</t>
  </si>
  <si>
    <t>- Bestandsveränderungen</t>
  </si>
  <si>
    <t>+ Aufbau/ - Abbau Vorräte</t>
  </si>
  <si>
    <t>+ Abbau/ - Aufbau Verbindlichkeiten ggü. Beteiligungsunternehmen</t>
  </si>
  <si>
    <t>+ Abbau/ - Aufbau Verbindlichkeiten aus Lieferungen und Leistungen</t>
  </si>
  <si>
    <t>+ Abbau/ - Aufbau Verbindlichkeiten aus LuL bis 1 Jahr</t>
  </si>
  <si>
    <t>73,2</t>
  </si>
  <si>
    <t>+ Abbau/ - Aufbau Verbindlichkeiten ggü. Beteiligungsunternehmen bis 1 Jahr</t>
  </si>
  <si>
    <t> = Materialausgaben</t>
  </si>
  <si>
    <t xml:space="preserve"> = Summe sonstige betriebliche Erträge </t>
  </si>
  <si>
    <t>+ Abbau/ - Aufbau Rückstellungen für Pensionen und ähnliche Verpflichtungen</t>
  </si>
  <si>
    <t> = Personalausgaben</t>
  </si>
  <si>
    <t>- Ertr. a. d. Aufl. v. Rückst. (unregelm.)</t>
  </si>
  <si>
    <t>+ Aufw. a.d. Zuf. v. Rückst. (unregelm.)</t>
  </si>
  <si>
    <t>+ Abbau/ - Aufbau Langfristige Rückstellungen</t>
  </si>
  <si>
    <t>+ Aufbau/ - Abbau Rückstellungen für Pensionen und ähnliche Verpflichtungen</t>
  </si>
  <si>
    <t>+ Abbau/ - Aufbau Kurzfristige Rückstellungen</t>
  </si>
  <si>
    <t> = Sonstige Ausgaben</t>
  </si>
  <si>
    <t>Betriebliche Nettoeinnahmen I</t>
  </si>
  <si>
    <t>Finanzbereich</t>
  </si>
  <si>
    <t>+ Beteiligungsergebnis</t>
  </si>
  <si>
    <t> = Zwischensumme Finanzbereich</t>
  </si>
  <si>
    <t>Betriebliche Nettoeinnahmen II (Cashflow korrekt)</t>
  </si>
  <si>
    <t>- Erträge aus abgeschriebenen Forderungen</t>
  </si>
  <si>
    <t>+ Planm. Abschr. a. Geschäfts- oder Firmenwert (bei EK-minderndem Ansatz)</t>
  </si>
  <si>
    <t>+ Abschr. a. imm. Vermögensg./-werte (außer Goodwill b. EK-minderndem Ansatz)</t>
  </si>
  <si>
    <t>+ Außerplanmäßige Abschreibungen</t>
  </si>
  <si>
    <t>+ Aufbau/ - Abbau SOPO mit Rücklagenanteil (Ertragsteueranteil)</t>
  </si>
  <si>
    <t> = unregelm. Einnahmen/ - unregelm. Ausgaben</t>
  </si>
  <si>
    <t>Betriebliche Nettoeinnahmen III</t>
  </si>
  <si>
    <t>Geldverwendung</t>
  </si>
  <si>
    <t xml:space="preserve">+ Aufbau/ - Abbau Tatsächliche Steuerforderungen </t>
  </si>
  <si>
    <t>+ Aufbau/-Abbau Summe Aktive latente Steuern</t>
  </si>
  <si>
    <t>+ Abbau/-Aufbau Summe Passive latente Steuern</t>
  </si>
  <si>
    <t>+ Abbau/ - Aufbau Steuerschulden</t>
  </si>
  <si>
    <t> = Steuerausgaben</t>
  </si>
  <si>
    <t>+ Aufbau/-Abbau Immaterielle Vermögensgegenstände/-werte</t>
  </si>
  <si>
    <t xml:space="preserve">+ Aufbau/ - Abbau Sachanlagen </t>
  </si>
  <si>
    <t>+ Planm. Abschr. a. Sachanl. u. imm. Vermögensg./-werte sowie a. Nutzungsr. a. Leasingverh.</t>
  </si>
  <si>
    <t>+ Außerplanm. Abschr. a. Sachanl.</t>
  </si>
  <si>
    <t>+ Variable Freiposition 13465</t>
  </si>
  <si>
    <t>+ Variable Freiposition 13467</t>
  </si>
  <si>
    <t>- Aktivierte Eigenleistungen</t>
  </si>
  <si>
    <t> = Sachinvestitionen</t>
  </si>
  <si>
    <t xml:space="preserve">∑(1) </t>
  </si>
  <si>
    <t>FINANZÜBERSCHUSS/FINANZDEFIZIT</t>
  </si>
  <si>
    <t>Kapitalbereich</t>
  </si>
  <si>
    <t>- davon a. Ant. an verb. Unt.</t>
  </si>
  <si>
    <t>+ Aufbau/ - Abbau Finanzanlagen</t>
  </si>
  <si>
    <t>+ Abbau/ - Aufbau Anteile an verbundenen Unternehmen (AV)</t>
  </si>
  <si>
    <t>+ Abbau/ - Aufbau Ausleihungen an verbundene Unternehmen (AV)</t>
  </si>
  <si>
    <t>+ Abbau/ - Aufbau Variable Freiposition 11145</t>
  </si>
  <si>
    <t>+ Abbau/ - Aufbau Variable Freiposition 11147</t>
  </si>
  <si>
    <t>+ Aufbau/ - Abbau Anteile an verbundenen Unternehmen (UV)</t>
  </si>
  <si>
    <t>+ Abbau/ - Aufbau Finanzschulden ggü. Beteiligungsunternehmen</t>
  </si>
  <si>
    <t>+ Abbau/ - Aufbau Finanzschulden ggü. Beteiligungsunternehmen bis 1 Jahr</t>
  </si>
  <si>
    <t> = Finanzinvestitionen</t>
  </si>
  <si>
    <t>Langfristige Bankverbindlichkeiten (Veränd.)</t>
  </si>
  <si>
    <t>+ Aufbau/ - Abbau Anleihen</t>
  </si>
  <si>
    <t>+ Aufbau/-Abbau Verbindlichkeiten aus Leasingverhältnissen</t>
  </si>
  <si>
    <t>+ Aufbau/ - Abbau Sonstige langfristige Finanzschulden</t>
  </si>
  <si>
    <t>+ Aufbau/ - Abbau Variable Freiposition 12245</t>
  </si>
  <si>
    <t>+ Aufbau/ - Abbau Variable Freiposition 12247</t>
  </si>
  <si>
    <t>+ Aufbau/ - Abbau Sonstige langfristige Verbindlichkeiten</t>
  </si>
  <si>
    <t>+ Aufbau/ - Abbau Variable Freiposition 12285</t>
  </si>
  <si>
    <t>+ Aufbau/ - Abbau Variable Freiposition 12287</t>
  </si>
  <si>
    <t> = Anleihen, langfristige Verbindlichkeiten (Veränd.)</t>
  </si>
  <si>
    <t>Jahresüberschuss/-fehlbetrag *</t>
  </si>
  <si>
    <t>+ Aufbau/ - Abbau Wirtschaftliches Eigenkapital</t>
  </si>
  <si>
    <t>- Planm. Abschr. a. Geschäfts- oder Firmenwert (bei EK-minderndem Ansatz)</t>
  </si>
  <si>
    <t>- Abschr. a. imm. Vermögensg./-werte (außer Goodwill b. EK-minderndem Ansatz)</t>
  </si>
  <si>
    <t>- Außerplanm. Abschr. a. imm. Vermögensg./-werte (ohne Firmen- oder Geschäftswert)</t>
  </si>
  <si>
    <t>- Außerplanm. Abschr. a. Gesch.- oder Firmenwert</t>
  </si>
  <si>
    <t> = Einlagen - Entnahmen/Ausschüttungen</t>
  </si>
  <si>
    <t xml:space="preserve">∑(2) </t>
  </si>
  <si>
    <t>ZWISCHENSUMME KAPITALBEREICH</t>
  </si>
  <si>
    <t>Geldnahes Netto-Umlaufvermögen</t>
  </si>
  <si>
    <t>+ Aufbau/ - Abbau Sonstige Wertpapiere des UV</t>
  </si>
  <si>
    <t>+ Aufbau/ - Abbau Variable Freiposition 11345</t>
  </si>
  <si>
    <t>+ Aufbau/ - Abbau Variable Freiposition 11347</t>
  </si>
  <si>
    <t> = Wertpapiere (Veränd.)</t>
  </si>
  <si>
    <t>+ Aufbau/-Abbau Sonstige Vermögensgegenstände/-werte</t>
  </si>
  <si>
    <t>+ Aufbau/ - Abbau Variable Freiposition 11315</t>
  </si>
  <si>
    <t>+ Aufbau/ - Abbau Variable Freiposition 11317</t>
  </si>
  <si>
    <t>+ Aufbau/ - Abbau Summe Aktivische Rechnungsabgrenzungsposten</t>
  </si>
  <si>
    <t>+ Aufbau/ - Abbau Summe Aktiver Unterschiedsbetrag aus der Vermögensverrechnung</t>
  </si>
  <si>
    <t>+ Außerplanm. Abschr. a. Vermögensg./-werte d. UV</t>
  </si>
  <si>
    <t> = sonst. Vermögensgegenstände/ ARAP (Veränd.)</t>
  </si>
  <si>
    <t>kurzfristige Bankverbindlichkeiten (Veränd.)</t>
  </si>
  <si>
    <t>+ Aufbau/ - Abbau Anleihen bis 1 Jahr</t>
  </si>
  <si>
    <t>+ Aufbau/ - Abbau Verbindlichkeiten aus Leasingverhältnissen bis 1 Jahr</t>
  </si>
  <si>
    <t>+ Aufbau/ - Abbau Sonstige kurzfristige Finanzschulden</t>
  </si>
  <si>
    <t>+ Aufbau/ - Abbau Variable Freiposition 12365</t>
  </si>
  <si>
    <t>+ Aufbau/ - Abbau Variable Freiposition 12367</t>
  </si>
  <si>
    <t>+ Aufbau/ - Abbau Sonstige kurzfristige Verbindlichkeiten</t>
  </si>
  <si>
    <t>+ Aufbau/ - Abbau Geplante Gewinnausschüttung</t>
  </si>
  <si>
    <t>+ Aufbau/ - Abbau Variable Freiposition 12395</t>
  </si>
  <si>
    <t>+ Aufbau/ - Abbau Variable Freiposition 12397</t>
  </si>
  <si>
    <t>+ Aufbau/ - Abbau Summe Passivische Rechnungsabgrenzungsposten</t>
  </si>
  <si>
    <t> = Sonstige kurzfristige Passiva (Veränd.)</t>
  </si>
  <si>
    <t>Wechselverbindlichkeiten (Veränd)</t>
  </si>
  <si>
    <t xml:space="preserve">∑(3) </t>
  </si>
  <si>
    <t>ZWISCHENSUMME GELDN. NETTO-UMLAUFVERMÖGEN</t>
  </si>
  <si>
    <t>Cashflow aus Unternehmensverflechtung</t>
  </si>
  <si>
    <t>+ Abbau/ - Aufbau Forderungen ggü. verbundenen Unternehmen</t>
  </si>
  <si>
    <t xml:space="preserve">+ Abbau/ - Aufbau Ausstehende Einlagen, eingefordert, aber noch nicht eingezahlt </t>
  </si>
  <si>
    <t xml:space="preserve">+ Abbau/ - Aufbau Forderungen ggü. Gesellschaftern </t>
  </si>
  <si>
    <t>+ Aufbau/ - Abbau Finanzschulden ggü. verbundenen Unternehmen</t>
  </si>
  <si>
    <t>+ Aufbau/ - Abbau Finanzschulden ggü. Gesellschaftern &gt; 1 Jahr</t>
  </si>
  <si>
    <t>+ Aufbau/ - Abbau Verbindlichkeiten ggü. verbundenen Unternehmen</t>
  </si>
  <si>
    <t>+ Aufbau/ - Abbau Verbindlichkeiten ggü. Gesellschaftern &gt; 1 Jahr</t>
  </si>
  <si>
    <t>+ Aufbau/ - Abbau Finanzschulden ggü. verbundenen Unternehmen bis 1 Jahr</t>
  </si>
  <si>
    <t>+ Aufbau/ - Abbau Finanzschulden ggü. Gesellschaftern bis 1 Jahr</t>
  </si>
  <si>
    <t>+ Aufbau/ - Abbau Verbindlichkeiten ggü. verbundenen Unternehmen bis 1 Jahr</t>
  </si>
  <si>
    <t>-2,6</t>
  </si>
  <si>
    <t>+ Aufbau/ - Abbau Verbindlichkeiten ggü. Gesellschaftern bis 1 Jahr</t>
  </si>
  <si>
    <t xml:space="preserve">∑(4) </t>
  </si>
  <si>
    <t>CASHFLOW AUS UNTERNEHMENSVERFLECHTUNG</t>
  </si>
  <si>
    <t>+ Erträge a. Verlustübernahmevertr. (Tochter)</t>
  </si>
  <si>
    <t>- Aufw. a. Gewinnabführungsvertr. (Tochter)</t>
  </si>
  <si>
    <t xml:space="preserve">∑ </t>
  </si>
  <si>
    <t>LIQUIDITÄTSÜBERSCHUSS/-DEFIZIT</t>
  </si>
  <si>
    <t>Plausibilisierung:</t>
  </si>
  <si>
    <t>+ Aufbau / - Abbau Finanzmittel</t>
  </si>
  <si>
    <t>* Jahresüberschuss/ -fehlbetrag mit umgekehrtem Vorzeichen, da das Ergebnis bereits in der Entwicklung des wirtschaftlichen Eigenkapitals berücksichtigt wird.</t>
  </si>
  <si>
    <t>Kapitaldienstberechnung</t>
  </si>
  <si>
    <t>Liquiditätswirksame Kapitaldienstberechnung</t>
  </si>
  <si>
    <t xml:space="preserve"> = Betriebsergebnis vor Steuern + Abschreibungen </t>
  </si>
  <si>
    <t>+ Aufbau/ - Abbau Langfristige Rückstellungen</t>
  </si>
  <si>
    <t>+ Aufbau/ - Abbau Kurzfristige Rückstellungen</t>
  </si>
  <si>
    <t>+ Ertr. a. d. Aufl. v. Rückst. (unregelm.)</t>
  </si>
  <si>
    <t>- Aufw. a.d. Zuf. v. Rückst. (unregelm.)</t>
  </si>
  <si>
    <t> = Rückstellungen (Veränd.) o. SOPO</t>
  </si>
  <si>
    <t>+ Abbau/ - Aufbau Vorräte</t>
  </si>
  <si>
    <t>+ Aufbau/- Abbau Erhaltene Anzahlungen (vertragliche Verbindlichkeiten) bis 1 Jahr</t>
  </si>
  <si>
    <t> = Vorräte - erhaltene Anzahlungen (Veränd.)</t>
  </si>
  <si>
    <t xml:space="preserve">+ Abbau/ - Aufbau Forderungen ggü. Beteil.-Unternehmen </t>
  </si>
  <si>
    <t> = Forderungen LuL (Veränd.)</t>
  </si>
  <si>
    <t>+ Aufbau/ - Abbau Verbindlichkeiten gegenüber Beteiligungsunternehmen</t>
  </si>
  <si>
    <t>+ Aufbau/ - Abbau Verbindlichkeiten aus Lieferungen und Leistungen</t>
  </si>
  <si>
    <t>+ Aufbau/ - Abbau Verbindlichkeiten aus LuL bis 1 Jahr</t>
  </si>
  <si>
    <t>-73,2</t>
  </si>
  <si>
    <t>+ Aufbau/ - Abbau Verbindlichkeiten ggü. Beteiligungsunternehmen bis 1 Jahr</t>
  </si>
  <si>
    <t> = Verbindlichkeiten LuL (Veränd.)</t>
  </si>
  <si>
    <t>+ Zinsen und ähnliche Aufwendungen</t>
  </si>
  <si>
    <t>+ Zinsaufwand für Gesellschafterdarlehen</t>
  </si>
  <si>
    <t>+ Variable Freiposition 13265, sofern &lt; 0</t>
  </si>
  <si>
    <t>+ Variable Freiposition 13267, sofern &lt; 0</t>
  </si>
  <si>
    <t>- Steuern vom Einkommen und Ertrag</t>
  </si>
  <si>
    <t>+ davon latenter Steueraufwand(+) / Steuerertrag (-)</t>
  </si>
  <si>
    <t> = Erweiterter Cashflow korrekt</t>
  </si>
  <si>
    <t> = Kapitaldienstgrenze vor Ersatzinvestitionen</t>
  </si>
  <si>
    <t>- Zinsen und ähnliche Aufwendungen</t>
  </si>
  <si>
    <t>- Zinsaufwand für Gesellschafterdarlehen</t>
  </si>
  <si>
    <t>- Variable Freiposition 13265, sofern &lt; 0</t>
  </si>
  <si>
    <t>- Variable Freiposition 13267, sofern &lt; 0</t>
  </si>
  <si>
    <t>- Tilgung von Finanzschulden</t>
  </si>
  <si>
    <t>Liquidität vor Ersatzinvestitionen (netto) II (liquid.)</t>
  </si>
  <si>
    <t>Cashflow-Berechnung</t>
  </si>
  <si>
    <t>Pos-Nr.</t>
  </si>
  <si>
    <t>Abweichung Vorjahr</t>
  </si>
  <si>
    <t>EBIT</t>
  </si>
  <si>
    <t>Steuern vom Einkommen und Ertrag (ohne latente Steuern)</t>
  </si>
  <si>
    <t>ERWEITERTER CASHFLOW NACH STEUERN (OHNE LAT. STEUERN)</t>
  </si>
  <si>
    <t>+ Abbau/ - Aufbau Forderungen aus Lieferungen und Leistungen (inkl. Bewertung)</t>
  </si>
  <si>
    <t>+ Aufbau/ - Abbau Verbindlichkeiten aus Lieferungen und Leistungen bis 1 Jahr</t>
  </si>
  <si>
    <t>88714</t>
  </si>
  <si>
    <t>+ Aufbau/ - Abbau erhaltene Anzahlungen (vertragliche Verbindlichkeiten) bis 1 Jahr</t>
  </si>
  <si>
    <t>88715</t>
  </si>
  <si>
    <t>+ Abbau/ - Aufbau sonstige kurzfristige Vermögensgegenstände/-werte</t>
  </si>
  <si>
    <t>+ Aufbau/ - Abbau sonstige kurzfristige Verbindlichkeiten</t>
  </si>
  <si>
    <t>Veränderung des Net Working Capital (ohne Verbindlichkeiten ggü. KI)</t>
  </si>
  <si>
    <t>CASHFLOW AUS LAUFENDER GESCHÄFTSTÄTIGKEIT</t>
  </si>
  <si>
    <t>Auszahlungen aus Zugängen immaterieller Vermögensgegenstände/-werte (Pos. 19132)</t>
  </si>
  <si>
    <t>Einzahlungen aus Abgängen immaterieller Vermögensgegenstände-/werte</t>
  </si>
  <si>
    <t>Auszahlungen aus Zugängen von Sachanlagen (Pos. 19131)</t>
  </si>
  <si>
    <t>Einzahlungen aus Abgängen von Sachanlagen</t>
  </si>
  <si>
    <t>Auszahlungen aus Zugängen von Finanzanlagen (Pos. 19133)</t>
  </si>
  <si>
    <t>Einzahlungen aus Abgängen von Finanzanlagen</t>
  </si>
  <si>
    <t>CASHFLOW AUS INVESTITIONSTÄTIGKEIT</t>
  </si>
  <si>
    <t>+ Aufbau/ - Abbau langfristiger Verbindlichkeiten ggü. Kreditinstituten (inkl. Leasingverh.)</t>
  </si>
  <si>
    <t>+ Aufbau/ - Abbau kurzfristiger Verbindlichkeiten ggü. Kreditinstituten (inkl. Leasingverh.)</t>
  </si>
  <si>
    <t>+ Aufbau/ - Abbau Verbindlichkeiten ggü. KI (inkl. Leasingverh.)</t>
  </si>
  <si>
    <t>+ Aufbau/ - Abbau kurzfristiger Finanzschulden (ohne KI und Leasingverh.)</t>
  </si>
  <si>
    <t>+ Aufbau/ - Abbau langfristiger Finanzschulden (ohne KI und Leasingverh.)</t>
  </si>
  <si>
    <t>+ Aufbau/ - Abbau langfristiger nicht zinstragender Verbindlichkeiten</t>
  </si>
  <si>
    <t>+ Aufbau/ - Abbau Fremdkapital</t>
  </si>
  <si>
    <t>+ Aufbau/ - Abbau Eigenkapital</t>
  </si>
  <si>
    <t>darunter: Gewinnausschüttung (Pos. 19155)</t>
  </si>
  <si>
    <t>darunter: Veränderung Eigenkapitalminderungen</t>
  </si>
  <si>
    <t>CASHFLOW AUS FINANZIERUNGSTÄTIGKEIT</t>
  </si>
  <si>
    <t>Veränderung liquider Mittel</t>
  </si>
  <si>
    <t>Plausibilitätsprüfung: Summe der relevanten CASHFLOWS</t>
  </si>
  <si>
    <t>Cashflow-Analyse</t>
  </si>
  <si>
    <t>Netto-Verbindlichkeiten ggü. KI (inkl. Leasing)</t>
  </si>
  <si>
    <t>Netto-Verbindlichkeiten ggü. KI nach NWC</t>
  </si>
  <si>
    <t> = Summe Erweiterungs- und Desinvestitionen (-/+)</t>
  </si>
  <si>
    <t>Netto-Verbindlichkeiten ggü. KI nach NWC, Erweiterungs- und Desinvestitionen</t>
  </si>
  <si>
    <t>Konsolidierung</t>
  </si>
  <si>
    <t>Mapping-Tabelle: Input → Modell</t>
  </si>
  <si>
    <t>Jede Zeile zeigt, wohin eine Input-Position im Modell fließt. „Davon“-Zeilen und Zwischensummen sind bewusst nicht verlinkt (Transparenz-Zeilen). WICHTIG: Die GuV ist bereinigt – Unregelmäßige Posten (13351-13469, 13529) sind BEWUSST AUSGESCHLOSSEN, um eine nachhaltige Forecast-Basis zu gewinnen. EBT und Net Income weichen daher systematisch von agree (13539/13549) ab.</t>
  </si>
  <si>
    <t>Input-Bezeichnung</t>
  </si>
  <si>
    <t>Pos.-Nr.</t>
  </si>
  <si>
    <t>Input-Zeile</t>
  </si>
  <si>
    <t>Ziel-Sheet</t>
  </si>
  <si>
    <t>Ziel-Zelle (Zeile)</t>
  </si>
  <si>
    <t>Modell-Position</t>
  </si>
  <si>
    <t>Hinweis</t>
  </si>
  <si>
    <t>--- AKTIVA ---</t>
  </si>
  <si>
    <t>Selbst gesch. Schutz- u. ähnl. Rechte und Werte/ Entwicklungskost.</t>
  </si>
  <si>
    <t>Bilanz</t>
  </si>
  <si>
    <t>Entg. erworb. Konz., gew. Schutz- u. ähnl. Rechte u. Werte sowie Lizenzen</t>
  </si>
  <si>
    <t>—</t>
  </si>
  <si>
    <t>Zwischensumme – nicht verlinkt (wird im Modell neu summiert)</t>
  </si>
  <si>
    <t>Zwischensumme – nicht verlinkt</t>
  </si>
  <si>
    <t>Imm. Vermögensg./-werte, Sachanl., Nutzungsrechte...</t>
  </si>
  <si>
    <t>Sonstige Finanzanlagen</t>
  </si>
  <si>
    <t>Summenposition – nicht verlinkt</t>
  </si>
  <si>
    <t>Negativposten in Vorräten</t>
  </si>
  <si>
    <t>davon-Position – nicht verlinkt (Transparenz)</t>
  </si>
  <si>
    <t>Ford. ggü. verb. Unt.</t>
  </si>
  <si>
    <t>Kassenbestand / Kontoguthaben</t>
  </si>
  <si>
    <t>Info-Zeile – nicht verlinkt</t>
  </si>
  <si>
    <t>davon-Position – nicht verlinkt</t>
  </si>
  <si>
    <t>Zwischensumme – über Einzelpos. 11401 bereits abgedeckt</t>
  </si>
  <si>
    <t>Bilanzierungstechnische Größe – Modell nutzt ausgewiesenes EK</t>
  </si>
  <si>
    <t>Summenposition – wird im Modell neu berechnet</t>
  </si>
  <si>
    <t>--- PASSIVA ---</t>
  </si>
  <si>
    <t>Unterschiedsbetrag aus der Kapitalkonsolidierung</t>
  </si>
  <si>
    <t>EK-mindernde Einzelposten 12101-12124</t>
  </si>
  <si>
    <t>12101-12124</t>
  </si>
  <si>
    <t>146-157</t>
  </si>
  <si>
    <t>EK-mindernde Posten (negativ)</t>
  </si>
  <si>
    <t>Alle EK-mindernden Einzelposten – Summe über 12129 verlinkt</t>
  </si>
  <si>
    <t>Als negative Position im EK-Block (12129 = Summe der EK-mindernden Einzelposten)</t>
  </si>
  <si>
    <t>Nachrangkapital / eigenkapitalähnlich</t>
  </si>
  <si>
    <t>Summenposition (Rating-Sicht) – nicht verlinkt</t>
  </si>
  <si>
    <t>Rückstellungen für Gewährl. (langfr. Anteil)</t>
  </si>
  <si>
    <t>Langfristige Rückstellungen</t>
  </si>
  <si>
    <t>Langfristige Finanzschulden - zinstragend</t>
  </si>
  <si>
    <t>SOPO m. Rückl.-Ant. (Ertragsteueranteil)</t>
  </si>
  <si>
    <t>Andere kfr. Verbindlichkeiten</t>
  </si>
  <si>
    <t>Zwischensumme – enthält Einzelpos. 12311/12312</t>
  </si>
  <si>
    <t>Zwischensumme aus 12331+12332 – nicht verlinkt</t>
  </si>
  <si>
    <t>davon Verrechnungskonten über Gewinn-/Verlustanteile</t>
  </si>
  <si>
    <t>--- GuV ---</t>
  </si>
  <si>
    <t>GuV</t>
  </si>
  <si>
    <t>Detailposition – im Modell aber Summe 13049 verwendet</t>
  </si>
  <si>
    <t>Im Modell in Bestandsveränderungen integriert</t>
  </si>
  <si>
    <t>davon a. selbst erst. imm. Vermögensg.</t>
  </si>
  <si>
    <t>Summe aus 13071+13072 – im Modell genutzt</t>
  </si>
  <si>
    <t>Sonstige betriebliche Erträge (Einzelpos. 13101-13129)</t>
  </si>
  <si>
    <t>13101-13129</t>
  </si>
  <si>
    <t>247-254</t>
  </si>
  <si>
    <t>Als negative Kosten (saldiert) – nur Summe 13129 verlinkt</t>
  </si>
  <si>
    <t>Summe – im Modell direkt genutzt</t>
  </si>
  <si>
    <t>Planm. Abschr. a. imm. Vermögensg./-werte</t>
  </si>
  <si>
    <t>Planm. Abschreibungen (Summe)</t>
  </si>
  <si>
    <t>Zentrale Sammelposition für sonstige Kosten</t>
  </si>
  <si>
    <t>davon Aufwendungen für Immobilien</t>
  </si>
  <si>
    <t>davon-Position – eigenständig verlinkt, da dediziertes Modell-Feld</t>
  </si>
  <si>
    <t>davon Aufwendungen für Mobilien (Leasing)</t>
  </si>
  <si>
    <t>davon-Position – in Hauptposition enthalten, hier zur Info</t>
  </si>
  <si>
    <t>davon-Position – eigenständig verlinkt (dediziertes Modell-Feld)</t>
  </si>
  <si>
    <t>davon-Position – nicht verlinkt (in 13204 enthalten)</t>
  </si>
  <si>
    <t>Reparatur und Instandhaltung</t>
  </si>
  <si>
    <t>davon aus Rückstellungszuführung</t>
  </si>
  <si>
    <t>Summenposition agree (13249) – im Modell aus Rohertrag + operative Kosten neu berechnet. Stimmt mit agree überein, da Unregelmäßige Posten ausgeschlossen.</t>
  </si>
  <si>
    <t>Summenposition – im Modell neu berechnet</t>
  </si>
  <si>
    <t>Erträge/Aufw. Finanzanlagen + Beteiligungen 13281-13339</t>
  </si>
  <si>
    <t>13281-13339</t>
  </si>
  <si>
    <t>289-299</t>
  </si>
  <si>
    <t>NICHT verlinkt – Beteiligungs-/Finanzanlageerträge im Modell 2023/24 leer. Bei Bedarf manuell in GuV B21/B22 ergänzen.</t>
  </si>
  <si>
    <t>Unregelmäßige Erträge/Aufw. 13351-13469</t>
  </si>
  <si>
    <t>13351-13469</t>
  </si>
  <si>
    <t>301-328</t>
  </si>
  <si>
    <t>BEWUSST NICHT VERLINKT – Unregelmäßige Erträge/Aufwendungen (Buchgewinne/-verluste aus Anlageabgängen, außerplanm. Abschr., Rückstellungsauflösungen) werden aus der GuV ausgeschlossen, da sie nicht nachhaltig sind und die Forecast-Basis verzerren würden.</t>
  </si>
  <si>
    <t>BEWUSST NICHT VERLINKT – siehe 13351-13469. EBT im Modell = EBIT + Finanzergebnis (ohne Unregelm.). 2023: agree-EBT 55,2 vs. Modell 28,0 (Δ=27,2 einmalige Erträge); 2024: agree-EBT 99,5 vs. Modell 151,3 (Δ=-51,8 einmalige Aufwendungen).</t>
  </si>
  <si>
    <t>Betriebsergebnis vor Steuer (EBT) – BERECHNET</t>
  </si>
  <si>
    <t>NICHT verlinkt – EBT im Modell wird aus EBIT (B19) + Finanzergebnis (B23) neu berechnet (ohne unregelm. Posten). agree-Wert 13539 dient nur als Kontrollgröße.</t>
  </si>
  <si>
    <t>davon latenter Steueraufwand/Steuerertrag</t>
  </si>
  <si>
    <t>Net income – BERECHNET</t>
  </si>
  <si>
    <t>NICHT verlinkt – NI im Modell wird aus EBT (B25) + Steuern (B27) neu berechnet. Weicht von agree 13549 ab um den Sondereffekt aus 13529. Basis für Forecast-Thesaurierung.</t>
  </si>
  <si>
    <t>Verlinkte Werte aus agree-Daten (Input)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</si>
</sst>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_);\(#,##0.0\);\-_);@_)"/>
    <numFmt numFmtId="165" formatCode="#,##0.0\x_);\(#,##0.0\x\);\-_);@_)"/>
    <numFmt numFmtId="166" formatCode="#,##0.0%_);\(#,##0.0%\);\-_);@_)"/>
    <numFmt numFmtId="167" formatCode="dd\-mmm\-yy_)"/>
    <numFmt numFmtId="168" formatCode="yyyy_)"/>
    <numFmt numFmtId="169" formatCode="yyyy&quot;A&quot;_)"/>
    <numFmt numFmtId="170" formatCode="yyyy&quot;E&quot;_)"/>
    <numFmt numFmtId="171" formatCode="#,##0.0000_);\(#,##0.0000\);\-_);@_)"/>
    <numFmt numFmtId="172" formatCode="\&gt;0"/>
  </numFmts>
  <fonts count="28" x14ac:knownFonts="1">
    <font>
      <sz val="11"/>
      <color theme="1"/>
      <name val="Calibri"/>
      <family val="2"/>
      <scheme val="minor"/>
    </font>
    <font>
      <sz val="11"/>
      <color theme="1"/>
      <name val="Calibri"/>
      <family val="2"/>
      <scheme val="minor"/>
    </font>
    <font>
      <b/>
      <sz val="11"/>
      <color theme="1"/>
      <name val="Calibri"/>
      <family val="2"/>
      <scheme val="minor"/>
    </font>
    <font>
      <sz val="11"/>
      <color theme="4"/>
      <name val="Calibri"/>
      <family val="2"/>
      <scheme val="minor"/>
    </font>
    <font>
      <sz val="11"/>
      <color theme="9"/>
      <name val="Calibri"/>
      <family val="2"/>
      <scheme val="minor"/>
    </font>
    <font>
      <b/>
      <sz val="36"/>
      <color theme="1"/>
      <name val="Times New Roman"/>
      <family val="1"/>
    </font>
    <font>
      <b/>
      <i/>
      <sz val="11"/>
      <color theme="1"/>
      <name val="Calibri"/>
      <family val="2"/>
      <scheme val="minor"/>
    </font>
    <font>
      <i/>
      <sz val="11"/>
      <color theme="1"/>
      <name val="Calibri"/>
      <family val="2"/>
      <scheme val="minor"/>
    </font>
    <font>
      <b/>
      <sz val="11"/>
      <color theme="9"/>
      <name val="Calibri"/>
      <family val="2"/>
      <scheme val="minor"/>
    </font>
    <font>
      <sz val="11"/>
      <color rgb="FFFF0000"/>
      <name val="Calibri"/>
      <family val="2"/>
      <scheme val="minor"/>
    </font>
    <font>
      <b/>
      <sz val="11"/>
      <color theme="4"/>
      <name val="Calibri"/>
      <family val="2"/>
      <scheme val="minor"/>
    </font>
    <font>
      <b/>
      <sz val="11"/>
      <name val="Calibri"/>
      <family val="2"/>
      <scheme val="minor"/>
    </font>
    <font>
      <b/>
      <sz val="12"/>
      <color theme="1"/>
      <name val="Arial"/>
      <family val="2"/>
    </font>
    <font>
      <b/>
      <sz val="9"/>
      <color theme="1"/>
      <name val="Arial"/>
      <family val="2"/>
    </font>
    <font>
      <sz val="9"/>
      <color theme="1"/>
      <name val="Arial"/>
      <family val="2"/>
    </font>
    <font>
      <b/>
      <sz val="9"/>
      <color rgb="FFFFFFFF"/>
      <name val="Arial"/>
      <family val="2"/>
    </font>
    <font>
      <b/>
      <sz val="7"/>
      <color rgb="FFFFFFFF"/>
      <name val="Arial"/>
      <family val="2"/>
    </font>
    <font>
      <b/>
      <sz val="7"/>
      <color theme="1"/>
      <name val="Arial"/>
      <family val="2"/>
    </font>
    <font>
      <sz val="7"/>
      <color theme="1"/>
      <name val="Arial"/>
      <family val="2"/>
    </font>
    <font>
      <sz val="7"/>
      <color rgb="FFFFFFFF"/>
      <name val="Arial"/>
      <family val="2"/>
    </font>
    <font>
      <b/>
      <sz val="7"/>
      <color rgb="FFC0C0C0"/>
      <name val="Arial"/>
      <family val="2"/>
    </font>
    <font>
      <sz val="6"/>
      <color rgb="FFFFFFFF"/>
      <name val="Arial"/>
      <family val="2"/>
    </font>
    <font>
      <b/>
      <sz val="14"/>
      <color theme="1"/>
      <name val="Calibri"/>
      <family val="2"/>
      <scheme val="minor"/>
    </font>
    <font>
      <i/>
      <sz val="11"/>
      <color rgb="FF808080"/>
      <name val="Calibri"/>
      <family val="2"/>
      <scheme val="minor"/>
    </font>
    <font>
      <sz val="10"/>
      <color rgb="FF000000"/>
      <name val="Tahoma"/>
      <family val="2"/>
    </font>
    <font>
      <b/>
      <sz val="10"/>
      <color rgb="FF000000"/>
      <name val="Tahoma"/>
      <family val="2"/>
    </font>
    <font>
      <sz val="11"/>
      <color rgb="FFED7D31"/>
      <name val="Calibri"/>
      <family val="2"/>
      <scheme val="minor"/>
    </font>
    <font>
      <sz val="11"/>
      <color rgb="FF000000"/>
      <name val="Calibri"/>
      <family val="2"/>
      <scheme val="minor"/>
    </font>
  </fonts>
  <fills count="12">
    <fill>
      <patternFill patternType="none"/>
    </fill>
    <fill>
      <patternFill patternType="gray125"/>
    </fill>
    <fill>
      <patternFill patternType="solid">
        <fgColor rgb="FFFFFF99"/>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theme="0" tint="-0.14999847407452621"/>
        <bgColor indexed="64"/>
      </patternFill>
    </fill>
    <fill>
      <patternFill patternType="solid">
        <fgColor rgb="FFFFFF00"/>
        <bgColor indexed="64"/>
      </patternFill>
    </fill>
    <fill>
      <patternFill patternType="solid">
        <fgColor rgb="FFC0C0C0"/>
        <bgColor indexed="64"/>
      </patternFill>
    </fill>
    <fill>
      <patternFill patternType="solid">
        <fgColor rgb="FFD9E1F2"/>
        <bgColor indexed="64"/>
      </patternFill>
    </fill>
    <fill>
      <patternFill patternType="solid">
        <fgColor rgb="FFFFF2CC"/>
        <bgColor indexed="64"/>
      </patternFill>
    </fill>
  </fills>
  <borders count="22">
    <border>
      <left/>
      <right/>
      <top/>
      <bottom/>
      <diagonal/>
    </border>
    <border>
      <left style="thin">
        <color auto="1"/>
      </left>
      <right style="thin">
        <color auto="1"/>
      </right>
      <top style="thin">
        <color auto="1"/>
      </top>
      <bottom style="thin">
        <color auto="1"/>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style="thin">
        <color rgb="FF000000"/>
      </top>
      <bottom/>
      <diagonal/>
    </border>
    <border>
      <left/>
      <right/>
      <top/>
      <bottom style="thin">
        <color rgb="FF000000"/>
      </bottom>
      <diagonal/>
    </border>
  </borders>
  <cellStyleXfs count="13">
    <xf numFmtId="164" fontId="0" fillId="0" borderId="0" applyFill="0" applyBorder="0" applyAlignment="0" applyProtection="0"/>
    <xf numFmtId="166" fontId="1" fillId="0" borderId="0" applyFont="0" applyFill="0" applyBorder="0" applyAlignment="0" applyProtection="0"/>
    <xf numFmtId="164" fontId="3" fillId="0" borderId="0" applyNumberFormat="0" applyFill="0" applyBorder="0" applyAlignment="0" applyProtection="0"/>
    <xf numFmtId="164" fontId="4" fillId="0" borderId="0" applyNumberFormat="0" applyFill="0" applyBorder="0" applyAlignment="0" applyProtection="0"/>
    <xf numFmtId="164" fontId="3" fillId="2" borderId="1" applyNumberFormat="0" applyAlignment="0" applyProtection="0"/>
    <xf numFmtId="165" fontId="1" fillId="0" borderId="0" applyFont="0" applyFill="0" applyBorder="0" applyAlignment="0" applyProtection="0"/>
    <xf numFmtId="167" fontId="1" fillId="0" borderId="0" applyFont="0" applyFill="0" applyBorder="0" applyAlignment="0" applyProtection="0"/>
    <xf numFmtId="168" fontId="1" fillId="0" borderId="0" applyFont="0" applyFill="0" applyBorder="0" applyAlignment="0" applyProtection="0"/>
    <xf numFmtId="169" fontId="1" fillId="0" borderId="0" applyFont="0" applyFill="0" applyBorder="0" applyAlignment="0" applyProtection="0"/>
    <xf numFmtId="170" fontId="1" fillId="0" borderId="0" applyFont="0" applyFill="0" applyBorder="0" applyAlignment="0" applyProtection="0"/>
    <xf numFmtId="0" fontId="9" fillId="0" borderId="0" applyNumberFormat="0" applyFill="0" applyBorder="0" applyAlignment="0" applyProtection="0"/>
    <xf numFmtId="172" fontId="1" fillId="0" borderId="0" applyFont="0" applyFill="0" applyBorder="0" applyAlignment="0" applyProtection="0"/>
    <xf numFmtId="0" fontId="1" fillId="0" borderId="0"/>
  </cellStyleXfs>
  <cellXfs count="187">
    <xf numFmtId="164" fontId="0" fillId="0" borderId="0" xfId="0"/>
    <xf numFmtId="164" fontId="3" fillId="0" borderId="0" xfId="2"/>
    <xf numFmtId="164" fontId="4" fillId="0" borderId="0" xfId="3"/>
    <xf numFmtId="164" fontId="3" fillId="2" borderId="1" xfId="4"/>
    <xf numFmtId="164" fontId="5" fillId="0" borderId="0" xfId="0" applyFont="1"/>
    <xf numFmtId="164" fontId="2" fillId="0" borderId="0" xfId="0" applyFont="1"/>
    <xf numFmtId="164" fontId="2" fillId="0" borderId="2" xfId="0" applyFont="1" applyBorder="1"/>
    <xf numFmtId="169" fontId="2" fillId="0" borderId="2" xfId="8" applyFont="1" applyBorder="1"/>
    <xf numFmtId="170" fontId="2" fillId="0" borderId="2" xfId="9" applyFont="1" applyBorder="1"/>
    <xf numFmtId="164" fontId="6" fillId="0" borderId="0" xfId="0" applyFont="1"/>
    <xf numFmtId="164" fontId="7" fillId="0" borderId="0" xfId="0" applyFont="1"/>
    <xf numFmtId="166" fontId="0" fillId="0" borderId="0" xfId="1" applyFont="1"/>
    <xf numFmtId="166" fontId="3" fillId="2" borderId="1" xfId="1" applyFont="1" applyFill="1" applyBorder="1"/>
    <xf numFmtId="164" fontId="0" fillId="3" borderId="0" xfId="0" applyFill="1"/>
    <xf numFmtId="166" fontId="4" fillId="0" borderId="0" xfId="3" applyNumberFormat="1"/>
    <xf numFmtId="166" fontId="4" fillId="0" borderId="0" xfId="1" applyFont="1"/>
    <xf numFmtId="164" fontId="8" fillId="0" borderId="0" xfId="3" applyFont="1"/>
    <xf numFmtId="164" fontId="6" fillId="0" borderId="0" xfId="0" applyFont="1" applyAlignment="1">
      <alignment horizontal="right"/>
    </xf>
    <xf numFmtId="167" fontId="3" fillId="2" borderId="1" xfId="6" applyFont="1" applyFill="1" applyBorder="1"/>
    <xf numFmtId="169" fontId="4" fillId="0" borderId="2" xfId="3" applyNumberFormat="1" applyBorder="1"/>
    <xf numFmtId="164" fontId="0" fillId="4" borderId="0" xfId="0" applyFill="1" applyAlignment="1">
      <alignment horizontal="center"/>
    </xf>
    <xf numFmtId="164" fontId="0" fillId="6" borderId="0" xfId="0" applyFill="1" applyAlignment="1">
      <alignment horizontal="center"/>
    </xf>
    <xf numFmtId="164" fontId="0" fillId="5" borderId="0" xfId="0" applyFill="1" applyAlignment="1">
      <alignment horizontal="center"/>
    </xf>
    <xf numFmtId="164" fontId="9" fillId="0" borderId="0" xfId="10" applyNumberFormat="1"/>
    <xf numFmtId="171" fontId="0" fillId="0" borderId="0" xfId="0" applyNumberFormat="1"/>
    <xf numFmtId="164" fontId="0" fillId="3" borderId="2" xfId="0" applyFill="1" applyBorder="1"/>
    <xf numFmtId="164" fontId="0" fillId="3" borderId="0" xfId="0" applyFill="1" applyAlignment="1">
      <alignment horizontal="center"/>
    </xf>
    <xf numFmtId="172" fontId="0" fillId="4" borderId="0" xfId="11" applyFont="1" applyFill="1" applyAlignment="1">
      <alignment horizontal="center"/>
    </xf>
    <xf numFmtId="166" fontId="0" fillId="0" borderId="0" xfId="1" applyFont="1" applyAlignment="1">
      <alignment horizontal="left"/>
    </xf>
    <xf numFmtId="164" fontId="4" fillId="0" borderId="0" xfId="3" applyAlignment="1">
      <alignment horizontal="left"/>
    </xf>
    <xf numFmtId="164" fontId="0" fillId="0" borderId="0" xfId="0" applyAlignment="1">
      <alignment horizontal="left"/>
    </xf>
    <xf numFmtId="164" fontId="10" fillId="2" borderId="1" xfId="4" applyFont="1"/>
    <xf numFmtId="164" fontId="2" fillId="7" borderId="0" xfId="0" applyFont="1" applyFill="1"/>
    <xf numFmtId="164" fontId="0" fillId="0" borderId="3" xfId="0" applyBorder="1"/>
    <xf numFmtId="164" fontId="0" fillId="0" borderId="4" xfId="0" applyBorder="1"/>
    <xf numFmtId="164" fontId="10" fillId="7" borderId="0" xfId="2" applyFont="1" applyFill="1" applyAlignment="1">
      <alignment horizontal="center"/>
    </xf>
    <xf numFmtId="164" fontId="2" fillId="7" borderId="0" xfId="0" applyFont="1" applyFill="1" applyAlignment="1">
      <alignment horizontal="center"/>
    </xf>
    <xf numFmtId="169" fontId="4" fillId="0" borderId="2" xfId="3" applyNumberFormat="1" applyBorder="1" applyAlignment="1">
      <alignment horizontal="center"/>
    </xf>
    <xf numFmtId="169" fontId="2" fillId="0" borderId="2" xfId="8" applyFont="1" applyBorder="1" applyAlignment="1">
      <alignment horizontal="center"/>
    </xf>
    <xf numFmtId="170" fontId="2" fillId="0" borderId="2" xfId="9" applyFont="1" applyBorder="1" applyAlignment="1">
      <alignment horizontal="center"/>
    </xf>
    <xf numFmtId="2" fontId="4" fillId="0" borderId="0" xfId="3" applyNumberFormat="1"/>
    <xf numFmtId="164" fontId="0" fillId="0" borderId="0" xfId="0" applyBorder="1"/>
    <xf numFmtId="164" fontId="2" fillId="0" borderId="0" xfId="0" applyFont="1" applyBorder="1"/>
    <xf numFmtId="170" fontId="2" fillId="0" borderId="2" xfId="9" applyFont="1" applyBorder="1" applyAlignment="1">
      <alignment horizontal="right"/>
    </xf>
    <xf numFmtId="164" fontId="3" fillId="3" borderId="0" xfId="2" applyFill="1"/>
    <xf numFmtId="169" fontId="4" fillId="0" borderId="0" xfId="3" applyNumberFormat="1" applyBorder="1"/>
    <xf numFmtId="169" fontId="2" fillId="0" borderId="0" xfId="8" applyFont="1" applyBorder="1"/>
    <xf numFmtId="170" fontId="2" fillId="0" borderId="0" xfId="9" applyFont="1" applyBorder="1"/>
    <xf numFmtId="170" fontId="2" fillId="0" borderId="0" xfId="9" applyFont="1" applyBorder="1" applyAlignment="1">
      <alignment horizontal="right"/>
    </xf>
    <xf numFmtId="1" fontId="2" fillId="0" borderId="0" xfId="9" applyNumberFormat="1" applyFont="1" applyBorder="1"/>
    <xf numFmtId="170" fontId="3" fillId="2" borderId="1" xfId="4" applyNumberFormat="1"/>
    <xf numFmtId="170" fontId="2" fillId="0" borderId="2" xfId="9" applyFont="1" applyBorder="1" applyAlignment="1">
      <alignment horizontal="left"/>
    </xf>
    <xf numFmtId="170" fontId="3" fillId="3" borderId="1" xfId="2" applyNumberFormat="1" applyFill="1" applyBorder="1" applyAlignment="1">
      <alignment horizontal="right"/>
    </xf>
    <xf numFmtId="164" fontId="11" fillId="0" borderId="0" xfId="2" applyFont="1"/>
    <xf numFmtId="164" fontId="3" fillId="2" borderId="5" xfId="4" applyBorder="1" applyAlignment="1">
      <alignment horizontal="left"/>
    </xf>
    <xf numFmtId="164" fontId="3" fillId="2" borderId="6" xfId="4" applyBorder="1" applyAlignment="1">
      <alignment horizontal="left"/>
    </xf>
    <xf numFmtId="164" fontId="3" fillId="2" borderId="7" xfId="4" applyBorder="1" applyAlignment="1">
      <alignment horizontal="left"/>
    </xf>
    <xf numFmtId="0" fontId="12" fillId="0" borderId="0" xfId="12" applyFont="1"/>
    <xf numFmtId="0" fontId="1" fillId="0" borderId="0" xfId="12"/>
    <xf numFmtId="0" fontId="13" fillId="0" borderId="8" xfId="12" applyFont="1" applyBorder="1" applyAlignment="1">
      <alignment horizontal="left" vertical="top" wrapText="1"/>
    </xf>
    <xf numFmtId="0" fontId="13" fillId="0" borderId="9" xfId="12" applyFont="1" applyBorder="1" applyAlignment="1">
      <alignment horizontal="left" vertical="top" wrapText="1"/>
    </xf>
    <xf numFmtId="0" fontId="13" fillId="0" borderId="10" xfId="12" applyFont="1" applyBorder="1" applyAlignment="1">
      <alignment horizontal="left" vertical="top" wrapText="1"/>
    </xf>
    <xf numFmtId="0" fontId="13" fillId="0" borderId="11" xfId="12" applyFont="1" applyBorder="1" applyAlignment="1">
      <alignment horizontal="left" vertical="top" wrapText="1"/>
    </xf>
    <xf numFmtId="0" fontId="14" fillId="0" borderId="11" xfId="12" applyFont="1" applyBorder="1" applyAlignment="1">
      <alignment horizontal="left" vertical="top" wrapText="1"/>
    </xf>
    <xf numFmtId="14" fontId="14" fillId="0" borderId="11" xfId="12" applyNumberFormat="1" applyFont="1" applyBorder="1" applyAlignment="1">
      <alignment horizontal="left" vertical="top" wrapText="1"/>
    </xf>
    <xf numFmtId="0" fontId="15" fillId="0" borderId="8" xfId="12" applyFont="1" applyBorder="1" applyAlignment="1">
      <alignment horizontal="center" vertical="top" wrapText="1"/>
    </xf>
    <xf numFmtId="0" fontId="15" fillId="0" borderId="10" xfId="12" applyFont="1" applyBorder="1" applyAlignment="1">
      <alignment horizontal="center" vertical="top" wrapText="1"/>
    </xf>
    <xf numFmtId="22" fontId="14" fillId="0" borderId="11" xfId="12" applyNumberFormat="1" applyFont="1" applyBorder="1" applyAlignment="1">
      <alignment horizontal="left" vertical="top" wrapText="1"/>
    </xf>
    <xf numFmtId="0" fontId="14" fillId="0" borderId="8" xfId="12" applyFont="1" applyBorder="1" applyAlignment="1">
      <alignment horizontal="left" vertical="top" wrapText="1"/>
    </xf>
    <xf numFmtId="0" fontId="14" fillId="0" borderId="9" xfId="12" applyFont="1" applyBorder="1" applyAlignment="1">
      <alignment horizontal="left" vertical="top" wrapText="1"/>
    </xf>
    <xf numFmtId="0" fontId="14" fillId="0" borderId="10" xfId="12" applyFont="1" applyBorder="1" applyAlignment="1">
      <alignment horizontal="left" vertical="top" wrapText="1"/>
    </xf>
    <xf numFmtId="0" fontId="1" fillId="0" borderId="11" xfId="12" applyBorder="1" applyAlignment="1">
      <alignment horizontal="left" vertical="top" wrapText="1"/>
    </xf>
    <xf numFmtId="0" fontId="16" fillId="0" borderId="12" xfId="12" applyFont="1" applyBorder="1" applyAlignment="1">
      <alignment horizontal="right" vertical="top" wrapText="1"/>
    </xf>
    <xf numFmtId="0" fontId="16" fillId="0" borderId="13" xfId="12" applyFont="1" applyBorder="1" applyAlignment="1">
      <alignment horizontal="right" vertical="top" wrapText="1"/>
    </xf>
    <xf numFmtId="0" fontId="17" fillId="0" borderId="12" xfId="12" applyFont="1" applyBorder="1" applyAlignment="1">
      <alignment horizontal="center" vertical="top" wrapText="1"/>
    </xf>
    <xf numFmtId="0" fontId="17" fillId="0" borderId="13" xfId="12" applyFont="1" applyBorder="1" applyAlignment="1">
      <alignment horizontal="center" vertical="top" wrapText="1"/>
    </xf>
    <xf numFmtId="0" fontId="17" fillId="0" borderId="14" xfId="12" applyFont="1" applyBorder="1" applyAlignment="1">
      <alignment horizontal="center" vertical="top" wrapText="1"/>
    </xf>
    <xf numFmtId="0" fontId="17" fillId="0" borderId="14" xfId="12" applyFont="1" applyBorder="1" applyAlignment="1">
      <alignment horizontal="center" vertical="top" wrapText="1"/>
    </xf>
    <xf numFmtId="0" fontId="16" fillId="0" borderId="15" xfId="12" applyFont="1" applyBorder="1" applyAlignment="1">
      <alignment horizontal="right" vertical="top" wrapText="1"/>
    </xf>
    <xf numFmtId="0" fontId="16" fillId="0" borderId="16" xfId="12" applyFont="1" applyBorder="1" applyAlignment="1">
      <alignment horizontal="right" vertical="top" wrapText="1"/>
    </xf>
    <xf numFmtId="0" fontId="17" fillId="0" borderId="17" xfId="12" applyFont="1" applyBorder="1" applyAlignment="1">
      <alignment horizontal="center" vertical="top" wrapText="1"/>
    </xf>
    <xf numFmtId="0" fontId="17" fillId="0" borderId="18" xfId="12" applyFont="1" applyBorder="1" applyAlignment="1">
      <alignment horizontal="center" vertical="top" wrapText="1"/>
    </xf>
    <xf numFmtId="0" fontId="17" fillId="0" borderId="19" xfId="12" applyFont="1" applyBorder="1" applyAlignment="1">
      <alignment horizontal="center" vertical="top" wrapText="1"/>
    </xf>
    <xf numFmtId="0" fontId="17" fillId="0" borderId="19" xfId="12" applyFont="1" applyBorder="1" applyAlignment="1">
      <alignment horizontal="center" vertical="top" wrapText="1"/>
    </xf>
    <xf numFmtId="0" fontId="16" fillId="0" borderId="17" xfId="12" applyFont="1" applyBorder="1" applyAlignment="1">
      <alignment horizontal="right" vertical="top" wrapText="1"/>
    </xf>
    <xf numFmtId="0" fontId="16" fillId="0" borderId="18" xfId="12" applyFont="1" applyBorder="1" applyAlignment="1">
      <alignment horizontal="right" vertical="top" wrapText="1"/>
    </xf>
    <xf numFmtId="0" fontId="17" fillId="0" borderId="11" xfId="12" applyFont="1" applyBorder="1" applyAlignment="1">
      <alignment horizontal="center" vertical="top" wrapText="1"/>
    </xf>
    <xf numFmtId="0" fontId="18" fillId="0" borderId="11" xfId="12" applyFont="1" applyBorder="1" applyAlignment="1">
      <alignment horizontal="left" wrapText="1"/>
    </xf>
    <xf numFmtId="0" fontId="18" fillId="0" borderId="11" xfId="12" applyFont="1" applyBorder="1" applyAlignment="1">
      <alignment horizontal="right" wrapText="1"/>
    </xf>
    <xf numFmtId="4" fontId="18" fillId="0" borderId="11" xfId="12" applyNumberFormat="1" applyFont="1" applyBorder="1" applyAlignment="1">
      <alignment horizontal="right" wrapText="1"/>
    </xf>
    <xf numFmtId="0" fontId="19" fillId="0" borderId="11" xfId="12" applyFont="1" applyBorder="1" applyAlignment="1">
      <alignment horizontal="right" wrapText="1"/>
    </xf>
    <xf numFmtId="0" fontId="19" fillId="0" borderId="11" xfId="12" applyFont="1" applyBorder="1" applyAlignment="1">
      <alignment horizontal="left" vertical="top" wrapText="1"/>
    </xf>
    <xf numFmtId="0" fontId="19" fillId="0" borderId="8" xfId="12" applyFont="1" applyBorder="1" applyAlignment="1">
      <alignment horizontal="left" vertical="top" wrapText="1"/>
    </xf>
    <xf numFmtId="0" fontId="19" fillId="0" borderId="9" xfId="12" applyFont="1" applyBorder="1" applyAlignment="1">
      <alignment horizontal="left" vertical="top" wrapText="1"/>
    </xf>
    <xf numFmtId="0" fontId="19" fillId="0" borderId="10" xfId="12" applyFont="1" applyBorder="1" applyAlignment="1">
      <alignment horizontal="left" vertical="top" wrapText="1"/>
    </xf>
    <xf numFmtId="0" fontId="17" fillId="9" borderId="11" xfId="12" applyFont="1" applyFill="1" applyBorder="1" applyAlignment="1">
      <alignment horizontal="left" wrapText="1"/>
    </xf>
    <xf numFmtId="0" fontId="17" fillId="9" borderId="11" xfId="12" applyFont="1" applyFill="1" applyBorder="1" applyAlignment="1">
      <alignment horizontal="right" wrapText="1"/>
    </xf>
    <xf numFmtId="0" fontId="20" fillId="9" borderId="11" xfId="12" applyFont="1" applyFill="1" applyBorder="1" applyAlignment="1">
      <alignment horizontal="right" wrapText="1"/>
    </xf>
    <xf numFmtId="4" fontId="17" fillId="9" borderId="11" xfId="12" applyNumberFormat="1" applyFont="1" applyFill="1" applyBorder="1" applyAlignment="1">
      <alignment horizontal="right" wrapText="1"/>
    </xf>
    <xf numFmtId="0" fontId="17" fillId="0" borderId="11" xfId="12" applyFont="1" applyBorder="1" applyAlignment="1">
      <alignment horizontal="left" wrapText="1"/>
    </xf>
    <xf numFmtId="0" fontId="17" fillId="0" borderId="11" xfId="12" applyFont="1" applyBorder="1" applyAlignment="1">
      <alignment horizontal="right" wrapText="1"/>
    </xf>
    <xf numFmtId="4" fontId="17" fillId="0" borderId="11" xfId="12" applyNumberFormat="1" applyFont="1" applyBorder="1" applyAlignment="1">
      <alignment horizontal="right" wrapText="1"/>
    </xf>
    <xf numFmtId="0" fontId="16" fillId="0" borderId="11" xfId="12" applyFont="1" applyBorder="1" applyAlignment="1">
      <alignment horizontal="right" wrapText="1"/>
    </xf>
    <xf numFmtId="0" fontId="17" fillId="0" borderId="8" xfId="12" applyFont="1" applyBorder="1" applyAlignment="1">
      <alignment horizontal="left" wrapText="1"/>
    </xf>
    <xf numFmtId="0" fontId="17" fillId="0" borderId="9" xfId="12" applyFont="1" applyBorder="1" applyAlignment="1">
      <alignment horizontal="left" wrapText="1"/>
    </xf>
    <xf numFmtId="0" fontId="17" fillId="0" borderId="10" xfId="12" applyFont="1" applyBorder="1" applyAlignment="1">
      <alignment horizontal="left" wrapText="1"/>
    </xf>
    <xf numFmtId="0" fontId="17" fillId="0" borderId="11" xfId="12" applyFont="1" applyBorder="1" applyAlignment="1">
      <alignment horizontal="center" wrapText="1"/>
    </xf>
    <xf numFmtId="0" fontId="18" fillId="0" borderId="8" xfId="12" applyFont="1" applyBorder="1" applyAlignment="1">
      <alignment horizontal="left" wrapText="1"/>
    </xf>
    <xf numFmtId="0" fontId="18" fillId="0" borderId="10" xfId="12" applyFont="1" applyBorder="1" applyAlignment="1">
      <alignment horizontal="left" wrapText="1"/>
    </xf>
    <xf numFmtId="0" fontId="21" fillId="0" borderId="8" xfId="12" applyFont="1" applyBorder="1" applyAlignment="1">
      <alignment horizontal="left" wrapText="1"/>
    </xf>
    <xf numFmtId="0" fontId="21" fillId="0" borderId="9" xfId="12" applyFont="1" applyBorder="1" applyAlignment="1">
      <alignment horizontal="left" wrapText="1"/>
    </xf>
    <xf numFmtId="0" fontId="21" fillId="0" borderId="10" xfId="12" applyFont="1" applyBorder="1" applyAlignment="1">
      <alignment horizontal="left" wrapText="1"/>
    </xf>
    <xf numFmtId="0" fontId="1" fillId="0" borderId="11" xfId="12" applyBorder="1"/>
    <xf numFmtId="0" fontId="16" fillId="0" borderId="20" xfId="12" applyFont="1" applyBorder="1" applyAlignment="1">
      <alignment horizontal="right" vertical="top" wrapText="1"/>
    </xf>
    <xf numFmtId="0" fontId="17" fillId="8" borderId="14" xfId="12" applyFont="1" applyFill="1" applyBorder="1" applyAlignment="1">
      <alignment horizontal="center" vertical="top" wrapText="1"/>
    </xf>
    <xf numFmtId="0" fontId="16" fillId="0" borderId="0" xfId="12" applyFont="1" applyAlignment="1">
      <alignment horizontal="right" vertical="top" wrapText="1"/>
    </xf>
    <xf numFmtId="0" fontId="16" fillId="0" borderId="21" xfId="12" applyFont="1" applyBorder="1" applyAlignment="1">
      <alignment horizontal="right" vertical="top" wrapText="1"/>
    </xf>
    <xf numFmtId="0" fontId="16" fillId="0" borderId="11" xfId="12" applyFont="1" applyBorder="1" applyAlignment="1">
      <alignment horizontal="center" vertical="top" wrapText="1"/>
    </xf>
    <xf numFmtId="0" fontId="1" fillId="0" borderId="11" xfId="12" applyBorder="1" applyAlignment="1">
      <alignment horizontal="center" vertical="top" wrapText="1"/>
    </xf>
    <xf numFmtId="0" fontId="17" fillId="0" borderId="12" xfId="12" applyFont="1" applyBorder="1" applyAlignment="1">
      <alignment horizontal="left" wrapText="1"/>
    </xf>
    <xf numFmtId="0" fontId="17" fillId="0" borderId="20" xfId="12" applyFont="1" applyBorder="1" applyAlignment="1">
      <alignment horizontal="left" wrapText="1"/>
    </xf>
    <xf numFmtId="0" fontId="17" fillId="0" borderId="13" xfId="12" applyFont="1" applyBorder="1" applyAlignment="1">
      <alignment horizontal="left" wrapText="1"/>
    </xf>
    <xf numFmtId="0" fontId="17" fillId="0" borderId="17" xfId="12" applyFont="1" applyBorder="1" applyAlignment="1">
      <alignment horizontal="left" wrapText="1"/>
    </xf>
    <xf numFmtId="0" fontId="17" fillId="0" borderId="21" xfId="12" applyFont="1" applyBorder="1" applyAlignment="1">
      <alignment horizontal="left" wrapText="1"/>
    </xf>
    <xf numFmtId="0" fontId="17" fillId="0" borderId="18" xfId="12" applyFont="1" applyBorder="1" applyAlignment="1">
      <alignment horizontal="left" wrapText="1"/>
    </xf>
    <xf numFmtId="0" fontId="18" fillId="8" borderId="11" xfId="12" applyFont="1" applyFill="1" applyBorder="1" applyAlignment="1">
      <alignment horizontal="right" wrapText="1"/>
    </xf>
    <xf numFmtId="0" fontId="17" fillId="0" borderId="8" xfId="12" applyFont="1" applyBorder="1" applyAlignment="1">
      <alignment horizontal="left" vertical="top" wrapText="1"/>
    </xf>
    <xf numFmtId="0" fontId="17" fillId="0" borderId="10" xfId="12" applyFont="1" applyBorder="1" applyAlignment="1">
      <alignment horizontal="left" vertical="top" wrapText="1"/>
    </xf>
    <xf numFmtId="0" fontId="17" fillId="0" borderId="9" xfId="12" applyFont="1" applyBorder="1" applyAlignment="1">
      <alignment horizontal="left" vertical="top" wrapText="1"/>
    </xf>
    <xf numFmtId="0" fontId="18" fillId="0" borderId="8" xfId="12" applyFont="1" applyBorder="1" applyAlignment="1">
      <alignment horizontal="left" vertical="top" wrapText="1"/>
    </xf>
    <xf numFmtId="0" fontId="18" fillId="0" borderId="10" xfId="12" applyFont="1" applyBorder="1" applyAlignment="1">
      <alignment horizontal="left" vertical="top" wrapText="1"/>
    </xf>
    <xf numFmtId="0" fontId="18" fillId="0" borderId="9" xfId="12" applyFont="1" applyBorder="1" applyAlignment="1">
      <alignment horizontal="left" vertical="top" wrapText="1"/>
    </xf>
    <xf numFmtId="0" fontId="18" fillId="0" borderId="12" xfId="12" applyFont="1" applyBorder="1" applyAlignment="1">
      <alignment horizontal="left" vertical="top" wrapText="1"/>
    </xf>
    <xf numFmtId="0" fontId="18" fillId="0" borderId="13" xfId="12" applyFont="1" applyBorder="1" applyAlignment="1">
      <alignment horizontal="left" vertical="top" wrapText="1"/>
    </xf>
    <xf numFmtId="0" fontId="18" fillId="0" borderId="20" xfId="12" applyFont="1" applyBorder="1" applyAlignment="1">
      <alignment horizontal="left" vertical="top" wrapText="1"/>
    </xf>
    <xf numFmtId="0" fontId="18" fillId="0" borderId="17" xfId="12" applyFont="1" applyBorder="1" applyAlignment="1">
      <alignment horizontal="left" vertical="top" wrapText="1"/>
    </xf>
    <xf numFmtId="0" fontId="18" fillId="0" borderId="18" xfId="12" applyFont="1" applyBorder="1" applyAlignment="1">
      <alignment horizontal="left" vertical="top" wrapText="1"/>
    </xf>
    <xf numFmtId="0" fontId="18" fillId="0" borderId="21" xfId="12" applyFont="1" applyBorder="1" applyAlignment="1">
      <alignment horizontal="left" vertical="top" wrapText="1"/>
    </xf>
    <xf numFmtId="0" fontId="1" fillId="0" borderId="8" xfId="12" applyBorder="1" applyAlignment="1">
      <alignment horizontal="left" vertical="top" wrapText="1"/>
    </xf>
    <xf numFmtId="0" fontId="1" fillId="0" borderId="9" xfId="12" applyBorder="1" applyAlignment="1">
      <alignment horizontal="left" vertical="top" wrapText="1"/>
    </xf>
    <xf numFmtId="0" fontId="1" fillId="0" borderId="10" xfId="12" applyBorder="1" applyAlignment="1">
      <alignment horizontal="left" vertical="top" wrapText="1"/>
    </xf>
    <xf numFmtId="0" fontId="18" fillId="0" borderId="15" xfId="12" applyFont="1" applyBorder="1" applyAlignment="1">
      <alignment horizontal="left" vertical="top" wrapText="1"/>
    </xf>
    <xf numFmtId="0" fontId="18" fillId="0" borderId="16" xfId="12" applyFont="1" applyBorder="1" applyAlignment="1">
      <alignment horizontal="left" vertical="top" wrapText="1"/>
    </xf>
    <xf numFmtId="0" fontId="18" fillId="0" borderId="0" xfId="12" applyFont="1" applyAlignment="1">
      <alignment horizontal="left" vertical="top" wrapText="1"/>
    </xf>
    <xf numFmtId="0" fontId="16" fillId="0" borderId="12" xfId="12" applyFont="1" applyBorder="1" applyAlignment="1">
      <alignment horizontal="center" vertical="top" wrapText="1"/>
    </xf>
    <xf numFmtId="0" fontId="16" fillId="0" borderId="13" xfId="12" applyFont="1" applyBorder="1" applyAlignment="1">
      <alignment horizontal="center" vertical="top" wrapText="1"/>
    </xf>
    <xf numFmtId="0" fontId="16" fillId="0" borderId="17" xfId="12" applyFont="1" applyBorder="1" applyAlignment="1">
      <alignment horizontal="center" vertical="top" wrapText="1"/>
    </xf>
    <xf numFmtId="0" fontId="16" fillId="0" borderId="18" xfId="12" applyFont="1" applyBorder="1" applyAlignment="1">
      <alignment horizontal="center" vertical="top" wrapText="1"/>
    </xf>
    <xf numFmtId="0" fontId="16" fillId="0" borderId="8" xfId="12" applyFont="1" applyBorder="1" applyAlignment="1">
      <alignment horizontal="center" vertical="top" wrapText="1"/>
    </xf>
    <xf numFmtId="0" fontId="16" fillId="0" borderId="10" xfId="12" applyFont="1" applyBorder="1" applyAlignment="1">
      <alignment horizontal="center" vertical="top" wrapText="1"/>
    </xf>
    <xf numFmtId="0" fontId="1" fillId="0" borderId="11" xfId="12" applyBorder="1" applyAlignment="1">
      <alignment horizontal="center" wrapText="1"/>
    </xf>
    <xf numFmtId="0" fontId="19" fillId="0" borderId="8" xfId="12" applyFont="1" applyBorder="1" applyAlignment="1">
      <alignment horizontal="right" wrapText="1"/>
    </xf>
    <xf numFmtId="0" fontId="19" fillId="0" borderId="10" xfId="12" applyFont="1" applyBorder="1" applyAlignment="1">
      <alignment horizontal="right" wrapText="1"/>
    </xf>
    <xf numFmtId="0" fontId="18" fillId="0" borderId="11" xfId="12" applyFont="1" applyBorder="1" applyAlignment="1">
      <alignment horizontal="center" wrapText="1"/>
    </xf>
    <xf numFmtId="0" fontId="17" fillId="9" borderId="11" xfId="12" applyFont="1" applyFill="1" applyBorder="1" applyAlignment="1">
      <alignment horizontal="center" wrapText="1"/>
    </xf>
    <xf numFmtId="0" fontId="17" fillId="9" borderId="8" xfId="12" applyFont="1" applyFill="1" applyBorder="1" applyAlignment="1">
      <alignment horizontal="left" wrapText="1"/>
    </xf>
    <xf numFmtId="0" fontId="17" fillId="9" borderId="10" xfId="12" applyFont="1" applyFill="1" applyBorder="1" applyAlignment="1">
      <alignment horizontal="left" wrapText="1"/>
    </xf>
    <xf numFmtId="0" fontId="16" fillId="0" borderId="8" xfId="12" applyFont="1" applyBorder="1" applyAlignment="1">
      <alignment horizontal="center" wrapText="1"/>
    </xf>
    <xf numFmtId="0" fontId="16" fillId="0" borderId="9" xfId="12" applyFont="1" applyBorder="1" applyAlignment="1">
      <alignment horizontal="center" wrapText="1"/>
    </xf>
    <xf numFmtId="0" fontId="16" fillId="0" borderId="10" xfId="12" applyFont="1" applyBorder="1" applyAlignment="1">
      <alignment horizontal="center" wrapText="1"/>
    </xf>
    <xf numFmtId="0" fontId="19" fillId="0" borderId="11" xfId="12" applyFont="1" applyBorder="1" applyAlignment="1">
      <alignment horizontal="center" wrapText="1"/>
    </xf>
    <xf numFmtId="0" fontId="19" fillId="0" borderId="8" xfId="12" applyFont="1" applyBorder="1" applyAlignment="1">
      <alignment horizontal="center" wrapText="1"/>
    </xf>
    <xf numFmtId="0" fontId="19" fillId="0" borderId="9" xfId="12" applyFont="1" applyBorder="1" applyAlignment="1">
      <alignment horizontal="center" wrapText="1"/>
    </xf>
    <xf numFmtId="0" fontId="19" fillId="0" borderId="10" xfId="12" applyFont="1" applyBorder="1" applyAlignment="1">
      <alignment horizontal="center" wrapText="1"/>
    </xf>
    <xf numFmtId="0" fontId="18" fillId="0" borderId="9" xfId="12" applyFont="1" applyBorder="1" applyAlignment="1">
      <alignment horizontal="left" wrapText="1"/>
    </xf>
    <xf numFmtId="0" fontId="20" fillId="9" borderId="11" xfId="12" applyFont="1" applyFill="1" applyBorder="1" applyAlignment="1">
      <alignment horizontal="center" wrapText="1"/>
    </xf>
    <xf numFmtId="0" fontId="1" fillId="0" borderId="8" xfId="12" applyBorder="1" applyAlignment="1">
      <alignment horizontal="center" wrapText="1"/>
    </xf>
    <xf numFmtId="0" fontId="1" fillId="0" borderId="9" xfId="12" applyBorder="1" applyAlignment="1">
      <alignment horizontal="center" wrapText="1"/>
    </xf>
    <xf numFmtId="0" fontId="1" fillId="0" borderId="10" xfId="12" applyBorder="1" applyAlignment="1">
      <alignment horizontal="center" wrapText="1"/>
    </xf>
    <xf numFmtId="0" fontId="16" fillId="0" borderId="11" xfId="12" applyFont="1" applyBorder="1" applyAlignment="1">
      <alignment horizontal="center" wrapText="1"/>
    </xf>
    <xf numFmtId="0" fontId="22" fillId="0" borderId="0" xfId="12" applyFont="1"/>
    <xf numFmtId="0" fontId="2" fillId="10" borderId="0" xfId="12" applyFont="1" applyFill="1"/>
    <xf numFmtId="0" fontId="2" fillId="11" borderId="0" xfId="12" applyFont="1" applyFill="1"/>
    <xf numFmtId="0" fontId="23" fillId="0" borderId="0" xfId="12" applyFont="1"/>
    <xf numFmtId="164" fontId="27" fillId="0" borderId="0" xfId="0" applyFont="1"/>
    <xf numFmtId="164" fontId="26" fillId="0" borderId="0" xfId="4" applyFont="1" applyFill="1" applyBorder="1"/>
    <xf numFmtId="164" fontId="26" fillId="0" borderId="0" xfId="2" applyFont="1"/>
    <xf numFmtId="164" fontId="26" fillId="0" borderId="0" xfId="2" applyNumberFormat="1" applyFont="1"/>
    <xf numFmtId="164" fontId="1" fillId="0" borderId="0" xfId="2" applyFont="1"/>
    <xf numFmtId="164" fontId="3" fillId="2" borderId="1" xfId="4" applyBorder="1"/>
    <xf numFmtId="164" fontId="1" fillId="0" borderId="0" xfId="3" applyFont="1"/>
    <xf numFmtId="164" fontId="0" fillId="0" borderId="0" xfId="0" applyFont="1"/>
    <xf numFmtId="164" fontId="0" fillId="3" borderId="0" xfId="3" applyFont="1" applyFill="1"/>
    <xf numFmtId="164" fontId="0" fillId="0" borderId="0" xfId="3" applyFont="1" applyFill="1"/>
    <xf numFmtId="164" fontId="0" fillId="0" borderId="0" xfId="3" applyFont="1"/>
    <xf numFmtId="164" fontId="0" fillId="3" borderId="0" xfId="0" applyFont="1" applyFill="1"/>
    <xf numFmtId="164" fontId="0" fillId="3" borderId="4" xfId="0" applyFont="1" applyFill="1" applyBorder="1"/>
  </cellXfs>
  <cellStyles count="13">
    <cellStyle name="Blau" xfId="2" xr:uid="{B1E8E457-EA60-4CA6-963C-1640D0F37F28}"/>
    <cellStyle name="Datum" xfId="6" xr:uid="{7443FDC4-3561-4AB5-A80B-AF72FC03C2F6}"/>
    <cellStyle name="Größer" xfId="11" xr:uid="{6F5FBE4C-F8E0-41D0-9627-7BC603217110}"/>
    <cellStyle name="Grün" xfId="3" xr:uid="{5A6DF4E4-39E0-404B-B893-4E62F0685DDE}"/>
    <cellStyle name="Input" xfId="4" xr:uid="{7D7990E4-A91E-4E34-855F-F7F795B7157C}"/>
    <cellStyle name="Jahr" xfId="7" xr:uid="{51A80C9F-F9D7-474D-AE9F-89639A227774}"/>
    <cellStyle name="Jahr historisch" xfId="8" xr:uid="{7CFF459A-9289-434B-B59A-41A1BBC111A2}"/>
    <cellStyle name="Jahr Zukunft" xfId="9" xr:uid="{76CEF4C7-BE89-4731-B695-B1E48D081192}"/>
    <cellStyle name="Multiple" xfId="5" xr:uid="{A8515AE1-8F81-4F00-A7D0-C197C95F10F2}"/>
    <cellStyle name="Prozent" xfId="1" builtinId="5" customBuiltin="1"/>
    <cellStyle name="Standard" xfId="0" builtinId="0" customBuiltin="1"/>
    <cellStyle name="Standard 2" xfId="12" xr:uid="{E669A0A9-6255-C848-B476-788DF292CEEB}"/>
    <cellStyle name="Warnender Text" xfId="10" builtinId="11"/>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8CF9D40-A139-F244-AAD9-C38752A64CB4}">
  <we:reference id="WA200009404" version="1.0.0.8" store="Omex" storeType="OMEX"/>
  <we:alternateReferences>
    <we:reference id="WA200009404" version="1.0.0.8" store="WA200009404" storeType="OMEX"/>
  </we:alternateReferences>
  <we:properties>
    <we:property name="claude.fileId" value="&quot;560bacc2-41c8-4cc8-a9d1-406fa09dcd56&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4D8DA-3811-490A-B077-981404561210}">
  <dimension ref="A1:O27"/>
  <sheetViews>
    <sheetView showGridLines="0" tabSelected="1" zoomScaleNormal="100" workbookViewId="0">
      <pane ySplit="3" topLeftCell="A4" activePane="bottomLeft" state="frozen"/>
      <selection activeCell="E12" sqref="E12"/>
      <selection pane="bottomLeft" activeCell="C30" sqref="C30"/>
    </sheetView>
  </sheetViews>
  <sheetFormatPr baseColWidth="10" defaultRowHeight="15" x14ac:dyDescent="0.2"/>
  <cols>
    <col min="1" max="1" width="38.5" customWidth="1"/>
    <col min="10" max="10" width="11.5" style="13"/>
  </cols>
  <sheetData>
    <row r="1" spans="1:10" ht="45" x14ac:dyDescent="0.45">
      <c r="A1" s="4" t="s">
        <v>244</v>
      </c>
    </row>
    <row r="2" spans="1:10" x14ac:dyDescent="0.2">
      <c r="A2" s="5" t="str" cm="1">
        <f t="array" aca="1" ref="A2" ca="1">MID(CELL("dateiname",A1),SEARCH("]",CELL("dateiname",A1))+1,31)</f>
        <v>Controls</v>
      </c>
    </row>
    <row r="3" spans="1:10" s="6" customFormat="1" ht="16" thickBot="1" x14ac:dyDescent="0.25">
      <c r="A3" s="6" t="s">
        <v>5</v>
      </c>
      <c r="B3" s="19">
        <f>Controls!B7</f>
        <v>45291</v>
      </c>
      <c r="C3" s="7">
        <f t="shared" ref="C3:I3" si="0">DATE(YEAR(B3)+1,MONTH(B3),DAY(B3))</f>
        <v>45657</v>
      </c>
      <c r="D3" s="8">
        <f t="shared" si="0"/>
        <v>46022</v>
      </c>
      <c r="E3" s="8">
        <f t="shared" si="0"/>
        <v>46387</v>
      </c>
      <c r="F3" s="8">
        <f t="shared" si="0"/>
        <v>46752</v>
      </c>
      <c r="G3" s="8">
        <f t="shared" si="0"/>
        <v>47118</v>
      </c>
      <c r="H3" s="8">
        <f t="shared" si="0"/>
        <v>47483</v>
      </c>
      <c r="I3" s="8">
        <f t="shared" si="0"/>
        <v>47848</v>
      </c>
      <c r="J3" s="25"/>
    </row>
    <row r="5" spans="1:10" x14ac:dyDescent="0.2">
      <c r="A5" t="s">
        <v>83</v>
      </c>
      <c r="B5" s="3">
        <v>365</v>
      </c>
    </row>
    <row r="6" spans="1:10" x14ac:dyDescent="0.2">
      <c r="A6" t="s">
        <v>150</v>
      </c>
      <c r="B6" s="3">
        <v>1</v>
      </c>
      <c r="C6" t="s">
        <v>151</v>
      </c>
    </row>
    <row r="7" spans="1:10" x14ac:dyDescent="0.2">
      <c r="A7" t="s">
        <v>154</v>
      </c>
      <c r="B7" s="18">
        <v>45291</v>
      </c>
    </row>
    <row r="9" spans="1:10" s="9" customFormat="1" x14ac:dyDescent="0.2">
      <c r="A9" s="9" t="s">
        <v>152</v>
      </c>
      <c r="J9" s="13"/>
    </row>
    <row r="10" spans="1:10" s="5" customFormat="1" x14ac:dyDescent="0.2">
      <c r="A10" s="5" t="s">
        <v>153</v>
      </c>
      <c r="C10" s="5" t="s">
        <v>1</v>
      </c>
      <c r="J10" s="13"/>
    </row>
    <row r="11" spans="1:10" x14ac:dyDescent="0.2">
      <c r="A11" s="1" t="s">
        <v>0</v>
      </c>
      <c r="C11" t="s">
        <v>3</v>
      </c>
    </row>
    <row r="12" spans="1:10" x14ac:dyDescent="0.2">
      <c r="A12" s="2" t="s">
        <v>0</v>
      </c>
      <c r="C12" t="s">
        <v>2</v>
      </c>
    </row>
    <row r="13" spans="1:10" x14ac:dyDescent="0.2">
      <c r="A13" s="179" t="s">
        <v>0</v>
      </c>
      <c r="C13" t="s">
        <v>4</v>
      </c>
    </row>
    <row r="14" spans="1:10" x14ac:dyDescent="0.2">
      <c r="A14" s="175" t="s">
        <v>0</v>
      </c>
      <c r="B14" s="174"/>
      <c r="C14" s="174" t="s">
        <v>1382</v>
      </c>
    </row>
    <row r="15" spans="1:10" x14ac:dyDescent="0.2">
      <c r="A15">
        <v>-100</v>
      </c>
      <c r="C15" t="s">
        <v>9</v>
      </c>
    </row>
    <row r="18" spans="1:15" x14ac:dyDescent="0.2">
      <c r="A18" s="5" t="s">
        <v>197</v>
      </c>
      <c r="B18" s="5"/>
      <c r="C18" s="5" t="s">
        <v>1</v>
      </c>
      <c r="K18" s="5" t="s">
        <v>184</v>
      </c>
    </row>
    <row r="19" spans="1:15" x14ac:dyDescent="0.2">
      <c r="A19" t="s">
        <v>155</v>
      </c>
      <c r="G19" s="27">
        <v>25</v>
      </c>
      <c r="H19" s="21" t="s">
        <v>156</v>
      </c>
      <c r="I19" s="22" t="s">
        <v>185</v>
      </c>
      <c r="J19" s="26"/>
    </row>
    <row r="20" spans="1:15" x14ac:dyDescent="0.2">
      <c r="A20" t="s">
        <v>88</v>
      </c>
      <c r="C20" t="s">
        <v>162</v>
      </c>
      <c r="G20" s="20" t="s">
        <v>157</v>
      </c>
      <c r="H20" s="21" t="s">
        <v>158</v>
      </c>
      <c r="I20" s="22" t="s">
        <v>159</v>
      </c>
      <c r="J20" s="26"/>
    </row>
    <row r="21" spans="1:15" x14ac:dyDescent="0.2">
      <c r="A21" t="s">
        <v>160</v>
      </c>
      <c r="C21" t="s">
        <v>161</v>
      </c>
      <c r="G21" s="20" t="s">
        <v>163</v>
      </c>
      <c r="H21" s="21" t="s">
        <v>164</v>
      </c>
      <c r="I21" s="22" t="s">
        <v>159</v>
      </c>
      <c r="J21" s="26"/>
      <c r="K21" s="24">
        <v>35.965200000000003</v>
      </c>
    </row>
    <row r="22" spans="1:15" x14ac:dyDescent="0.2">
      <c r="A22" t="s">
        <v>165</v>
      </c>
      <c r="C22" t="s">
        <v>166</v>
      </c>
      <c r="G22" s="20" t="s">
        <v>167</v>
      </c>
      <c r="H22" s="21" t="s">
        <v>168</v>
      </c>
      <c r="I22" s="22" t="s">
        <v>170</v>
      </c>
      <c r="J22" s="26"/>
    </row>
    <row r="23" spans="1:15" x14ac:dyDescent="0.2">
      <c r="A23" t="s">
        <v>171</v>
      </c>
      <c r="C23" t="s">
        <v>172</v>
      </c>
      <c r="G23" s="20" t="s">
        <v>173</v>
      </c>
      <c r="H23" s="21" t="s">
        <v>174</v>
      </c>
      <c r="I23" s="22">
        <v>0</v>
      </c>
      <c r="J23" s="26"/>
    </row>
    <row r="24" spans="1:15" x14ac:dyDescent="0.2">
      <c r="A24" t="s">
        <v>175</v>
      </c>
      <c r="C24" t="s">
        <v>176</v>
      </c>
      <c r="G24" s="20" t="s">
        <v>177</v>
      </c>
      <c r="H24" s="21" t="s">
        <v>178</v>
      </c>
      <c r="I24" s="22"/>
      <c r="J24" s="26"/>
      <c r="K24" s="23"/>
      <c r="L24" s="23"/>
      <c r="M24" s="23"/>
      <c r="N24" s="23"/>
      <c r="O24" s="23"/>
    </row>
    <row r="25" spans="1:15" x14ac:dyDescent="0.2">
      <c r="A25" t="s">
        <v>179</v>
      </c>
      <c r="C25" t="s">
        <v>182</v>
      </c>
      <c r="G25" s="20">
        <v>1</v>
      </c>
      <c r="H25" s="21" t="s">
        <v>183</v>
      </c>
      <c r="I25" s="22">
        <v>25</v>
      </c>
      <c r="J25" s="26"/>
    </row>
    <row r="26" spans="1:15" x14ac:dyDescent="0.2">
      <c r="A26" t="s">
        <v>180</v>
      </c>
      <c r="C26" t="s">
        <v>213</v>
      </c>
      <c r="G26" s="20" t="s">
        <v>181</v>
      </c>
      <c r="H26" s="21" t="s">
        <v>169</v>
      </c>
      <c r="I26" s="22" t="s">
        <v>170</v>
      </c>
      <c r="J26" s="26"/>
    </row>
    <row r="27" spans="1:15" x14ac:dyDescent="0.2">
      <c r="A27" t="s">
        <v>195</v>
      </c>
      <c r="C27" t="s">
        <v>198</v>
      </c>
      <c r="G27" s="20" t="s">
        <v>199</v>
      </c>
      <c r="H27" s="21" t="s">
        <v>200</v>
      </c>
      <c r="I27" s="22" t="s">
        <v>201</v>
      </c>
    </row>
  </sheetData>
  <pageMargins left="0.70866141732283472" right="0.70866141732283472" top="0.78740157480314965" bottom="0.78740157480314965" header="0.31496062992125984" footer="0.31496062992125984"/>
  <pageSetup paperSize="9" orientation="landscape" r:id="rId1"/>
  <headerFooter>
    <oddHeader xml:space="preserve">&amp;L&amp;"-,Fett"Stand: &amp;"-,Standard"&amp;D &amp;T&amp;R&amp;"-,Fett"Datei: &amp;"-,Standard"&amp;F | &amp;"-,Fett"Tab:&amp;"-,Standard" &amp;A     </oddHeader>
    <oddFooter>&amp;RSeite &amp;P von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05B79-A242-334C-8B59-F24E62FC8B4A}">
  <sheetPr>
    <tabColor theme="5"/>
  </sheetPr>
  <dimension ref="A1:I1085"/>
  <sheetViews>
    <sheetView showGridLines="0" topLeftCell="A238" workbookViewId="0">
      <selection activeCell="K241" sqref="K241"/>
    </sheetView>
  </sheetViews>
  <sheetFormatPr baseColWidth="10" defaultRowHeight="15" x14ac:dyDescent="0.2"/>
  <cols>
    <col min="1" max="1" width="45.6640625" style="58" bestFit="1" customWidth="1"/>
    <col min="2" max="2" width="27.83203125" style="58" customWidth="1"/>
    <col min="3" max="3" width="23.6640625" style="58" customWidth="1"/>
    <col min="4" max="4" width="33.6640625" style="58" customWidth="1"/>
    <col min="5" max="5" width="24.5" style="58" customWidth="1"/>
    <col min="6" max="6" width="18.5" style="58" customWidth="1"/>
    <col min="7" max="7" width="15.5" style="58" bestFit="1" customWidth="1"/>
    <col min="8" max="8" width="7.33203125" style="58" bestFit="1" customWidth="1"/>
    <col min="9" max="9" width="11.1640625" style="58" bestFit="1" customWidth="1"/>
    <col min="10" max="16384" width="10.83203125" style="58"/>
  </cols>
  <sheetData>
    <row r="1" spans="1:6" ht="16" x14ac:dyDescent="0.2">
      <c r="A1" s="57" t="s">
        <v>245</v>
      </c>
    </row>
    <row r="2" spans="1:6" x14ac:dyDescent="0.2">
      <c r="A2" s="59" t="s">
        <v>246</v>
      </c>
      <c r="B2" s="60"/>
      <c r="C2" s="60"/>
      <c r="D2" s="60"/>
      <c r="E2" s="60"/>
      <c r="F2" s="61"/>
    </row>
    <row r="3" spans="1:6" x14ac:dyDescent="0.2">
      <c r="A3" s="62" t="s">
        <v>247</v>
      </c>
      <c r="B3" s="63"/>
      <c r="C3" s="62" t="s">
        <v>248</v>
      </c>
      <c r="D3" s="63" t="s">
        <v>249</v>
      </c>
      <c r="E3" s="62" t="s">
        <v>250</v>
      </c>
      <c r="F3" s="63">
        <v>2024</v>
      </c>
    </row>
    <row r="4" spans="1:6" x14ac:dyDescent="0.2">
      <c r="A4" s="62" t="s">
        <v>251</v>
      </c>
      <c r="B4" s="63"/>
      <c r="C4" s="62" t="s">
        <v>252</v>
      </c>
      <c r="D4" s="63" t="s">
        <v>253</v>
      </c>
      <c r="E4" s="62" t="s">
        <v>254</v>
      </c>
      <c r="F4" s="64">
        <v>45707</v>
      </c>
    </row>
    <row r="5" spans="1:6" x14ac:dyDescent="0.2">
      <c r="A5" s="65"/>
      <c r="B5" s="66"/>
      <c r="C5" s="62" t="s">
        <v>255</v>
      </c>
      <c r="D5" s="63" t="s">
        <v>256</v>
      </c>
      <c r="E5" s="62" t="s">
        <v>257</v>
      </c>
      <c r="F5" s="67">
        <v>46057.46702546296</v>
      </c>
    </row>
    <row r="6" spans="1:6" x14ac:dyDescent="0.2">
      <c r="A6" s="62" t="s">
        <v>258</v>
      </c>
      <c r="B6" s="63"/>
      <c r="C6" s="62" t="s">
        <v>259</v>
      </c>
      <c r="D6" s="63" t="s">
        <v>260</v>
      </c>
      <c r="E6" s="62" t="s">
        <v>261</v>
      </c>
      <c r="F6" s="63" t="s">
        <v>262</v>
      </c>
    </row>
    <row r="7" spans="1:6" x14ac:dyDescent="0.2">
      <c r="A7" s="62" t="s">
        <v>263</v>
      </c>
      <c r="B7" s="63"/>
      <c r="C7" s="62" t="s">
        <v>264</v>
      </c>
      <c r="D7" s="63" t="s">
        <v>265</v>
      </c>
      <c r="E7" s="62" t="s">
        <v>266</v>
      </c>
      <c r="F7" s="63" t="s">
        <v>267</v>
      </c>
    </row>
    <row r="8" spans="1:6" x14ac:dyDescent="0.2">
      <c r="A8" s="62" t="s">
        <v>268</v>
      </c>
      <c r="B8" s="63"/>
      <c r="C8" s="62" t="s">
        <v>269</v>
      </c>
      <c r="D8" s="68" t="s">
        <v>270</v>
      </c>
      <c r="E8" s="69"/>
      <c r="F8" s="70"/>
    </row>
    <row r="9" spans="1:6" x14ac:dyDescent="0.2">
      <c r="A9" s="65"/>
      <c r="B9" s="66"/>
      <c r="C9" s="62" t="s">
        <v>271</v>
      </c>
      <c r="D9" s="63" t="s">
        <v>272</v>
      </c>
      <c r="E9" s="62" t="s">
        <v>273</v>
      </c>
      <c r="F9" s="63" t="s">
        <v>274</v>
      </c>
    </row>
    <row r="10" spans="1:6" x14ac:dyDescent="0.2">
      <c r="A10" s="65"/>
      <c r="B10" s="66"/>
      <c r="C10" s="62" t="s">
        <v>275</v>
      </c>
      <c r="D10" s="63" t="s">
        <v>276</v>
      </c>
      <c r="E10" s="62" t="s">
        <v>277</v>
      </c>
      <c r="F10" s="63" t="s">
        <v>278</v>
      </c>
    </row>
    <row r="11" spans="1:6" x14ac:dyDescent="0.2">
      <c r="A11" s="65"/>
      <c r="B11" s="66"/>
      <c r="C11" s="62" t="s">
        <v>279</v>
      </c>
      <c r="D11" s="63" t="s">
        <v>280</v>
      </c>
      <c r="E11" s="62" t="s">
        <v>281</v>
      </c>
      <c r="F11" s="63" t="s">
        <v>282</v>
      </c>
    </row>
    <row r="12" spans="1:6" x14ac:dyDescent="0.2">
      <c r="A12" s="65"/>
      <c r="B12" s="66"/>
      <c r="C12" s="62" t="s">
        <v>283</v>
      </c>
      <c r="D12" s="63" t="s">
        <v>284</v>
      </c>
      <c r="E12" s="62" t="s">
        <v>285</v>
      </c>
      <c r="F12" s="71"/>
    </row>
    <row r="13" spans="1:6" x14ac:dyDescent="0.2">
      <c r="A13" s="59" t="s">
        <v>286</v>
      </c>
      <c r="B13" s="60"/>
      <c r="C13" s="60"/>
      <c r="D13" s="60"/>
      <c r="E13" s="60"/>
      <c r="F13" s="61"/>
    </row>
    <row r="14" spans="1:6" x14ac:dyDescent="0.2">
      <c r="A14" s="62" t="s">
        <v>287</v>
      </c>
      <c r="B14" s="68" t="s">
        <v>270</v>
      </c>
      <c r="C14" s="69"/>
      <c r="D14" s="69"/>
      <c r="E14" s="69"/>
      <c r="F14" s="70"/>
    </row>
    <row r="15" spans="1:6" x14ac:dyDescent="0.2">
      <c r="A15" s="62" t="s">
        <v>288</v>
      </c>
      <c r="B15" s="63">
        <v>2024</v>
      </c>
      <c r="C15" s="62" t="s">
        <v>289</v>
      </c>
      <c r="D15" s="63" t="s">
        <v>284</v>
      </c>
      <c r="E15" s="62" t="s">
        <v>290</v>
      </c>
      <c r="F15" s="63">
        <v>58</v>
      </c>
    </row>
    <row r="16" spans="1:6" ht="16" x14ac:dyDescent="0.2">
      <c r="A16" s="57"/>
    </row>
    <row r="17" spans="1:8" ht="16" x14ac:dyDescent="0.2">
      <c r="A17" s="57"/>
    </row>
    <row r="18" spans="1:8" ht="16" x14ac:dyDescent="0.2">
      <c r="A18" s="57" t="s">
        <v>291</v>
      </c>
    </row>
    <row r="19" spans="1:8" x14ac:dyDescent="0.2">
      <c r="A19" s="72"/>
      <c r="B19" s="73"/>
      <c r="C19" s="74" t="s">
        <v>253</v>
      </c>
      <c r="D19" s="75"/>
      <c r="E19" s="74" t="s">
        <v>253</v>
      </c>
      <c r="F19" s="75"/>
      <c r="G19" s="76" t="s">
        <v>292</v>
      </c>
      <c r="H19" s="77" t="s">
        <v>293</v>
      </c>
    </row>
    <row r="20" spans="1:8" x14ac:dyDescent="0.2">
      <c r="A20" s="78"/>
      <c r="B20" s="79"/>
      <c r="C20" s="80">
        <v>2023</v>
      </c>
      <c r="D20" s="81"/>
      <c r="E20" s="80">
        <v>2024</v>
      </c>
      <c r="F20" s="81"/>
      <c r="G20" s="82"/>
      <c r="H20" s="83">
        <v>2024</v>
      </c>
    </row>
    <row r="21" spans="1:8" x14ac:dyDescent="0.2">
      <c r="A21" s="84"/>
      <c r="B21" s="85"/>
      <c r="C21" s="86" t="s">
        <v>294</v>
      </c>
      <c r="D21" s="86" t="s">
        <v>295</v>
      </c>
      <c r="E21" s="86" t="s">
        <v>294</v>
      </c>
      <c r="F21" s="86" t="s">
        <v>295</v>
      </c>
      <c r="G21" s="86" t="s">
        <v>295</v>
      </c>
      <c r="H21" s="86" t="s">
        <v>295</v>
      </c>
    </row>
    <row r="22" spans="1:8" x14ac:dyDescent="0.2">
      <c r="A22" s="87" t="s">
        <v>296</v>
      </c>
      <c r="B22" s="88">
        <v>11022</v>
      </c>
      <c r="C22" s="89">
        <v>2466.1</v>
      </c>
      <c r="D22" s="88">
        <v>51.8</v>
      </c>
      <c r="E22" s="89">
        <v>2437.6</v>
      </c>
      <c r="F22" s="88">
        <v>50.1</v>
      </c>
      <c r="G22" s="88">
        <v>-1.2</v>
      </c>
      <c r="H22" s="90"/>
    </row>
    <row r="23" spans="1:8" x14ac:dyDescent="0.2">
      <c r="A23" s="87" t="s">
        <v>297</v>
      </c>
      <c r="B23" s="88">
        <v>11049</v>
      </c>
      <c r="C23" s="89">
        <v>3810.8</v>
      </c>
      <c r="D23" s="88">
        <v>80</v>
      </c>
      <c r="E23" s="89">
        <v>4061.7</v>
      </c>
      <c r="F23" s="88">
        <v>83.4</v>
      </c>
      <c r="G23" s="88">
        <v>6.6</v>
      </c>
      <c r="H23" s="88">
        <v>26.1</v>
      </c>
    </row>
    <row r="24" spans="1:8" x14ac:dyDescent="0.2">
      <c r="A24" s="87" t="s">
        <v>298</v>
      </c>
      <c r="B24" s="88">
        <v>11179</v>
      </c>
      <c r="C24" s="90"/>
      <c r="D24" s="90"/>
      <c r="E24" s="90"/>
      <c r="F24" s="90"/>
      <c r="G24" s="90"/>
      <c r="H24" s="90"/>
    </row>
    <row r="25" spans="1:8" x14ac:dyDescent="0.2">
      <c r="A25" s="87" t="s">
        <v>299</v>
      </c>
      <c r="B25" s="88">
        <v>11189</v>
      </c>
      <c r="C25" s="89">
        <v>3813.6</v>
      </c>
      <c r="D25" s="88">
        <v>80.099999999999994</v>
      </c>
      <c r="E25" s="89">
        <v>4065.9</v>
      </c>
      <c r="F25" s="88">
        <v>83.5</v>
      </c>
      <c r="G25" s="88">
        <v>6.6</v>
      </c>
      <c r="H25" s="88">
        <v>26.6</v>
      </c>
    </row>
    <row r="26" spans="1:8" x14ac:dyDescent="0.2">
      <c r="A26" s="87" t="s">
        <v>300</v>
      </c>
      <c r="B26" s="88">
        <v>11228</v>
      </c>
      <c r="C26" s="88">
        <v>386</v>
      </c>
      <c r="D26" s="88">
        <v>8.1</v>
      </c>
      <c r="E26" s="88">
        <v>201.7</v>
      </c>
      <c r="F26" s="88">
        <v>4.0999999999999996</v>
      </c>
      <c r="G26" s="88">
        <v>-47.8</v>
      </c>
      <c r="H26" s="90"/>
    </row>
    <row r="27" spans="1:8" x14ac:dyDescent="0.2">
      <c r="A27" s="87" t="s">
        <v>301</v>
      </c>
      <c r="B27" s="88">
        <v>11230</v>
      </c>
      <c r="C27" s="90"/>
      <c r="D27" s="90"/>
      <c r="E27" s="90"/>
      <c r="F27" s="90"/>
      <c r="G27" s="90"/>
      <c r="H27" s="90"/>
    </row>
    <row r="28" spans="1:8" x14ac:dyDescent="0.2">
      <c r="A28" s="87" t="s">
        <v>31</v>
      </c>
      <c r="B28" s="88">
        <v>11249</v>
      </c>
      <c r="C28" s="88">
        <v>41</v>
      </c>
      <c r="D28" s="88">
        <v>0.9</v>
      </c>
      <c r="E28" s="88">
        <v>105.7</v>
      </c>
      <c r="F28" s="88">
        <v>2.2000000000000002</v>
      </c>
      <c r="G28" s="88">
        <v>157.80000000000001</v>
      </c>
      <c r="H28" s="88">
        <v>34.299999999999997</v>
      </c>
    </row>
    <row r="29" spans="1:8" x14ac:dyDescent="0.2">
      <c r="A29" s="87" t="s">
        <v>302</v>
      </c>
      <c r="B29" s="88">
        <v>11291</v>
      </c>
      <c r="C29" s="88">
        <v>834.2</v>
      </c>
      <c r="D29" s="88">
        <v>17.5</v>
      </c>
      <c r="E29" s="88">
        <v>546.9</v>
      </c>
      <c r="F29" s="88">
        <v>11.2</v>
      </c>
      <c r="G29" s="88">
        <v>-34.4</v>
      </c>
      <c r="H29" s="88">
        <v>15.5</v>
      </c>
    </row>
    <row r="30" spans="1:8" x14ac:dyDescent="0.2">
      <c r="A30" s="87" t="s">
        <v>303</v>
      </c>
      <c r="B30" s="88">
        <v>11369</v>
      </c>
      <c r="C30" s="88">
        <v>26.4</v>
      </c>
      <c r="D30" s="88">
        <v>0.6</v>
      </c>
      <c r="E30" s="88">
        <v>34.5</v>
      </c>
      <c r="F30" s="88">
        <v>0.7</v>
      </c>
      <c r="G30" s="88">
        <v>30.7</v>
      </c>
      <c r="H30" s="88">
        <v>5.5</v>
      </c>
    </row>
    <row r="31" spans="1:8" x14ac:dyDescent="0.2">
      <c r="A31" s="87" t="s">
        <v>304</v>
      </c>
      <c r="B31" s="88">
        <v>11379</v>
      </c>
      <c r="C31" s="88">
        <v>938.5</v>
      </c>
      <c r="D31" s="88">
        <v>19.7</v>
      </c>
      <c r="E31" s="88">
        <v>760.9</v>
      </c>
      <c r="F31" s="88">
        <v>15.6</v>
      </c>
      <c r="G31" s="88">
        <v>-18.899999999999999</v>
      </c>
      <c r="H31" s="88">
        <v>71.8</v>
      </c>
    </row>
    <row r="32" spans="1:8" x14ac:dyDescent="0.2">
      <c r="A32" s="87" t="s">
        <v>305</v>
      </c>
      <c r="B32" s="88">
        <v>11500</v>
      </c>
      <c r="C32" s="89">
        <v>4761.8</v>
      </c>
      <c r="D32" s="88">
        <v>100</v>
      </c>
      <c r="E32" s="89">
        <v>4868.8999999999996</v>
      </c>
      <c r="F32" s="88">
        <v>100</v>
      </c>
      <c r="G32" s="88">
        <v>2.2999999999999998</v>
      </c>
      <c r="H32" s="90"/>
    </row>
    <row r="33" spans="1:8" x14ac:dyDescent="0.2">
      <c r="A33" s="87" t="s">
        <v>306</v>
      </c>
      <c r="B33" s="88">
        <v>12099</v>
      </c>
      <c r="C33" s="88">
        <v>122</v>
      </c>
      <c r="D33" s="88">
        <v>2.6</v>
      </c>
      <c r="E33" s="88">
        <v>141.30000000000001</v>
      </c>
      <c r="F33" s="88">
        <v>2.9</v>
      </c>
      <c r="G33" s="88">
        <v>15.8</v>
      </c>
      <c r="H33" s="90"/>
    </row>
    <row r="34" spans="1:8" x14ac:dyDescent="0.2">
      <c r="A34" s="87" t="s">
        <v>307</v>
      </c>
      <c r="B34" s="88">
        <v>12169</v>
      </c>
      <c r="C34" s="88">
        <v>95.9</v>
      </c>
      <c r="D34" s="88">
        <v>2</v>
      </c>
      <c r="E34" s="88">
        <v>100</v>
      </c>
      <c r="F34" s="88">
        <v>2</v>
      </c>
      <c r="G34" s="88">
        <v>4.3</v>
      </c>
      <c r="H34" s="88">
        <v>17.2</v>
      </c>
    </row>
    <row r="35" spans="1:8" x14ac:dyDescent="0.2">
      <c r="A35" s="87" t="s">
        <v>308</v>
      </c>
      <c r="B35" s="88">
        <v>12214</v>
      </c>
      <c r="C35" s="89">
        <v>3414.5</v>
      </c>
      <c r="D35" s="88">
        <v>71.7</v>
      </c>
      <c r="E35" s="89">
        <v>3382.5</v>
      </c>
      <c r="F35" s="88">
        <v>69.5</v>
      </c>
      <c r="G35" s="88">
        <v>-0.9</v>
      </c>
      <c r="H35" s="88">
        <v>10.3</v>
      </c>
    </row>
    <row r="36" spans="1:8" x14ac:dyDescent="0.2">
      <c r="A36" s="87" t="s">
        <v>309</v>
      </c>
      <c r="B36" s="88">
        <v>12299</v>
      </c>
      <c r="C36" s="89">
        <v>3741.9</v>
      </c>
      <c r="D36" s="88">
        <v>78.599999999999994</v>
      </c>
      <c r="E36" s="89">
        <v>4206.2</v>
      </c>
      <c r="F36" s="88">
        <v>86.4</v>
      </c>
      <c r="G36" s="88">
        <v>12.4</v>
      </c>
      <c r="H36" s="88">
        <v>14.4</v>
      </c>
    </row>
    <row r="37" spans="1:8" x14ac:dyDescent="0.2">
      <c r="A37" s="87" t="s">
        <v>310</v>
      </c>
      <c r="B37" s="88">
        <v>12342</v>
      </c>
      <c r="C37" s="88">
        <v>259.89999999999998</v>
      </c>
      <c r="D37" s="88">
        <v>5.5</v>
      </c>
      <c r="E37" s="88">
        <v>69.900000000000006</v>
      </c>
      <c r="F37" s="88">
        <v>1.4</v>
      </c>
      <c r="G37" s="88">
        <v>-73.099999999999994</v>
      </c>
      <c r="H37" s="88">
        <v>0.3</v>
      </c>
    </row>
    <row r="38" spans="1:8" x14ac:dyDescent="0.2">
      <c r="A38" s="87" t="s">
        <v>311</v>
      </c>
      <c r="B38" s="88">
        <v>12371</v>
      </c>
      <c r="C38" s="88">
        <v>287.60000000000002</v>
      </c>
      <c r="D38" s="88">
        <v>6</v>
      </c>
      <c r="E38" s="88">
        <v>214.4</v>
      </c>
      <c r="F38" s="88">
        <v>4.4000000000000004</v>
      </c>
      <c r="G38" s="88">
        <v>-25.4</v>
      </c>
      <c r="H38" s="88">
        <v>5.8</v>
      </c>
    </row>
    <row r="39" spans="1:8" x14ac:dyDescent="0.2">
      <c r="A39" s="87" t="s">
        <v>51</v>
      </c>
      <c r="B39" s="88">
        <v>12409</v>
      </c>
      <c r="C39" s="88">
        <v>924</v>
      </c>
      <c r="D39" s="88">
        <v>19.399999999999999</v>
      </c>
      <c r="E39" s="88">
        <v>562.70000000000005</v>
      </c>
      <c r="F39" s="88">
        <v>11.6</v>
      </c>
      <c r="G39" s="88">
        <v>-39.1</v>
      </c>
      <c r="H39" s="88">
        <v>56.8</v>
      </c>
    </row>
    <row r="40" spans="1:8" x14ac:dyDescent="0.2">
      <c r="A40" s="87" t="s">
        <v>6</v>
      </c>
      <c r="B40" s="88">
        <v>13001</v>
      </c>
      <c r="C40" s="90"/>
      <c r="D40" s="90"/>
      <c r="E40" s="90"/>
      <c r="F40" s="90"/>
      <c r="G40" s="90"/>
      <c r="H40" s="90"/>
    </row>
    <row r="41" spans="1:8" x14ac:dyDescent="0.2">
      <c r="A41" s="87" t="s">
        <v>312</v>
      </c>
      <c r="B41" s="88">
        <v>13059</v>
      </c>
      <c r="C41" s="89">
        <v>3985.1</v>
      </c>
      <c r="D41" s="88">
        <v>100</v>
      </c>
      <c r="E41" s="89">
        <v>4214.8999999999996</v>
      </c>
      <c r="F41" s="88">
        <v>100</v>
      </c>
      <c r="G41" s="88">
        <v>5.8</v>
      </c>
      <c r="H41" s="90"/>
    </row>
    <row r="42" spans="1:8" x14ac:dyDescent="0.2">
      <c r="A42" s="87" t="s">
        <v>313</v>
      </c>
      <c r="B42" s="88">
        <v>13139</v>
      </c>
      <c r="C42" s="89">
        <v>2725.8</v>
      </c>
      <c r="D42" s="88">
        <v>68.400000000000006</v>
      </c>
      <c r="E42" s="89">
        <v>3152</v>
      </c>
      <c r="F42" s="88">
        <v>74.8</v>
      </c>
      <c r="G42" s="88">
        <v>15.6</v>
      </c>
      <c r="H42" s="88">
        <v>64.400000000000006</v>
      </c>
    </row>
    <row r="43" spans="1:8" x14ac:dyDescent="0.2">
      <c r="A43" s="87" t="s">
        <v>314</v>
      </c>
      <c r="B43" s="88">
        <v>13249</v>
      </c>
      <c r="C43" s="88">
        <v>133</v>
      </c>
      <c r="D43" s="88">
        <v>3.3</v>
      </c>
      <c r="E43" s="88">
        <v>254.2</v>
      </c>
      <c r="F43" s="88">
        <v>6</v>
      </c>
      <c r="G43" s="88">
        <v>91.1</v>
      </c>
      <c r="H43" s="88">
        <v>4.0999999999999996</v>
      </c>
    </row>
    <row r="44" spans="1:8" x14ac:dyDescent="0.2">
      <c r="A44" s="87" t="s">
        <v>315</v>
      </c>
      <c r="B44" s="88">
        <v>13549</v>
      </c>
      <c r="C44" s="88">
        <v>51</v>
      </c>
      <c r="D44" s="88">
        <v>1.3</v>
      </c>
      <c r="E44" s="88">
        <v>91.8</v>
      </c>
      <c r="F44" s="88">
        <v>2.2000000000000002</v>
      </c>
      <c r="G44" s="88">
        <v>80</v>
      </c>
      <c r="H44" s="90"/>
    </row>
    <row r="45" spans="1:8" x14ac:dyDescent="0.2">
      <c r="A45" s="87" t="s">
        <v>316</v>
      </c>
      <c r="B45" s="88">
        <v>19160</v>
      </c>
      <c r="C45" s="90"/>
      <c r="D45" s="90"/>
      <c r="E45" s="90"/>
      <c r="F45" s="90"/>
      <c r="G45" s="90"/>
      <c r="H45" s="90"/>
    </row>
    <row r="46" spans="1:8" x14ac:dyDescent="0.2">
      <c r="A46" s="87" t="s">
        <v>317</v>
      </c>
      <c r="B46" s="88">
        <v>19161</v>
      </c>
      <c r="C46" s="90"/>
      <c r="D46" s="90"/>
      <c r="E46" s="90"/>
      <c r="F46" s="90"/>
      <c r="G46" s="90"/>
      <c r="H46" s="90"/>
    </row>
    <row r="47" spans="1:8" x14ac:dyDescent="0.2">
      <c r="A47" s="87" t="s">
        <v>318</v>
      </c>
      <c r="B47" s="88">
        <v>19157</v>
      </c>
      <c r="C47" s="90"/>
      <c r="D47" s="90"/>
      <c r="E47" s="90"/>
      <c r="F47" s="90"/>
      <c r="G47" s="90"/>
      <c r="H47" s="90"/>
    </row>
    <row r="48" spans="1:8" ht="16" x14ac:dyDescent="0.2">
      <c r="A48" s="57"/>
    </row>
    <row r="49" spans="1:9" ht="16" x14ac:dyDescent="0.2">
      <c r="A49" s="57"/>
    </row>
    <row r="50" spans="1:9" ht="16" x14ac:dyDescent="0.2">
      <c r="A50" s="57" t="s">
        <v>319</v>
      </c>
    </row>
    <row r="51" spans="1:9" x14ac:dyDescent="0.2">
      <c r="A51" s="59" t="s">
        <v>320</v>
      </c>
      <c r="B51" s="60"/>
      <c r="C51" s="60"/>
      <c r="D51" s="61"/>
    </row>
    <row r="52" spans="1:9" x14ac:dyDescent="0.2">
      <c r="A52" s="91"/>
      <c r="B52" s="68"/>
      <c r="C52" s="69"/>
      <c r="D52" s="70"/>
    </row>
    <row r="53" spans="1:9" x14ac:dyDescent="0.2">
      <c r="A53" s="92"/>
      <c r="B53" s="93"/>
      <c r="C53" s="93"/>
      <c r="D53" s="94"/>
    </row>
    <row r="54" spans="1:9" ht="16" x14ac:dyDescent="0.2">
      <c r="A54" s="57"/>
    </row>
    <row r="55" spans="1:9" ht="16" x14ac:dyDescent="0.2">
      <c r="A55" s="57"/>
    </row>
    <row r="56" spans="1:9" ht="16" x14ac:dyDescent="0.2">
      <c r="A56" s="57" t="s">
        <v>321</v>
      </c>
    </row>
    <row r="57" spans="1:9" x14ac:dyDescent="0.2">
      <c r="A57" s="72"/>
      <c r="B57" s="73"/>
      <c r="C57" s="74" t="s">
        <v>253</v>
      </c>
      <c r="D57" s="75"/>
      <c r="E57" s="74" t="s">
        <v>253</v>
      </c>
      <c r="F57" s="75"/>
      <c r="G57" s="76" t="s">
        <v>292</v>
      </c>
      <c r="H57" s="77" t="s">
        <v>293</v>
      </c>
      <c r="I57" s="76" t="s">
        <v>322</v>
      </c>
    </row>
    <row r="58" spans="1:9" x14ac:dyDescent="0.2">
      <c r="A58" s="78"/>
      <c r="B58" s="79"/>
      <c r="C58" s="80">
        <v>2023</v>
      </c>
      <c r="D58" s="81"/>
      <c r="E58" s="80">
        <v>2024</v>
      </c>
      <c r="F58" s="81"/>
      <c r="G58" s="82"/>
      <c r="H58" s="83">
        <v>2024</v>
      </c>
      <c r="I58" s="82"/>
    </row>
    <row r="59" spans="1:9" x14ac:dyDescent="0.2">
      <c r="A59" s="84"/>
      <c r="B59" s="85"/>
      <c r="C59" s="86" t="s">
        <v>294</v>
      </c>
      <c r="D59" s="86" t="s">
        <v>295</v>
      </c>
      <c r="E59" s="86" t="s">
        <v>294</v>
      </c>
      <c r="F59" s="86" t="s">
        <v>295</v>
      </c>
      <c r="G59" s="86" t="s">
        <v>295</v>
      </c>
      <c r="H59" s="86" t="s">
        <v>295</v>
      </c>
      <c r="I59" s="86" t="s">
        <v>295</v>
      </c>
    </row>
    <row r="60" spans="1:9" x14ac:dyDescent="0.2">
      <c r="A60" s="87" t="s">
        <v>323</v>
      </c>
      <c r="B60" s="88">
        <v>11001</v>
      </c>
      <c r="C60" s="90"/>
      <c r="D60" s="90"/>
      <c r="E60" s="90"/>
      <c r="F60" s="90"/>
      <c r="G60" s="90"/>
      <c r="H60" s="90"/>
      <c r="I60" s="90"/>
    </row>
    <row r="61" spans="1:9" x14ac:dyDescent="0.2">
      <c r="A61" s="87" t="s">
        <v>324</v>
      </c>
      <c r="B61" s="88">
        <v>11002</v>
      </c>
      <c r="C61" s="90"/>
      <c r="D61" s="90"/>
      <c r="E61" s="90"/>
      <c r="F61" s="90"/>
      <c r="G61" s="90"/>
      <c r="H61" s="90"/>
      <c r="I61" s="90"/>
    </row>
    <row r="62" spans="1:9" x14ac:dyDescent="0.2">
      <c r="A62" s="87" t="s">
        <v>325</v>
      </c>
      <c r="B62" s="88">
        <v>11003</v>
      </c>
      <c r="C62" s="90"/>
      <c r="D62" s="90"/>
      <c r="E62" s="90"/>
      <c r="F62" s="90"/>
      <c r="G62" s="90"/>
      <c r="H62" s="90"/>
      <c r="I62" s="90"/>
    </row>
    <row r="63" spans="1:9" x14ac:dyDescent="0.2">
      <c r="A63" s="87" t="s">
        <v>326</v>
      </c>
      <c r="B63" s="88">
        <v>11005</v>
      </c>
      <c r="C63" s="90"/>
      <c r="D63" s="90"/>
      <c r="E63" s="90"/>
      <c r="F63" s="90"/>
      <c r="G63" s="90"/>
      <c r="H63" s="90"/>
      <c r="I63" s="90"/>
    </row>
    <row r="64" spans="1:9" x14ac:dyDescent="0.2">
      <c r="A64" s="95" t="s">
        <v>327</v>
      </c>
      <c r="B64" s="96">
        <v>11019</v>
      </c>
      <c r="C64" s="96">
        <v>2.8</v>
      </c>
      <c r="D64" s="96">
        <v>0.1</v>
      </c>
      <c r="E64" s="96">
        <v>4.2</v>
      </c>
      <c r="F64" s="96">
        <v>0.1</v>
      </c>
      <c r="G64" s="96">
        <v>50</v>
      </c>
      <c r="H64" s="97"/>
      <c r="I64" s="97"/>
    </row>
    <row r="65" spans="1:9" x14ac:dyDescent="0.2">
      <c r="A65" s="87" t="s">
        <v>296</v>
      </c>
      <c r="B65" s="88">
        <v>11022</v>
      </c>
      <c r="C65" s="89">
        <v>2466.1</v>
      </c>
      <c r="D65" s="88">
        <v>51.8</v>
      </c>
      <c r="E65" s="89">
        <v>2437.6</v>
      </c>
      <c r="F65" s="88">
        <v>50.1</v>
      </c>
      <c r="G65" s="88">
        <v>-1.2</v>
      </c>
      <c r="H65" s="90"/>
      <c r="I65" s="90"/>
    </row>
    <row r="66" spans="1:9" x14ac:dyDescent="0.2">
      <c r="A66" s="87" t="s">
        <v>328</v>
      </c>
      <c r="B66" s="88">
        <v>11025</v>
      </c>
      <c r="C66" s="88">
        <v>793.3</v>
      </c>
      <c r="D66" s="88">
        <v>16.7</v>
      </c>
      <c r="E66" s="89">
        <v>1159.3</v>
      </c>
      <c r="F66" s="88">
        <v>23.8</v>
      </c>
      <c r="G66" s="88">
        <v>46.1</v>
      </c>
      <c r="H66" s="90"/>
      <c r="I66" s="90"/>
    </row>
    <row r="67" spans="1:9" x14ac:dyDescent="0.2">
      <c r="A67" s="87" t="s">
        <v>329</v>
      </c>
      <c r="B67" s="88">
        <v>11028</v>
      </c>
      <c r="C67" s="88">
        <v>551.4</v>
      </c>
      <c r="D67" s="88">
        <v>11.6</v>
      </c>
      <c r="E67" s="88">
        <v>464.8</v>
      </c>
      <c r="F67" s="88">
        <v>9.6</v>
      </c>
      <c r="G67" s="88">
        <v>-15.7</v>
      </c>
      <c r="H67" s="90"/>
      <c r="I67" s="90"/>
    </row>
    <row r="68" spans="1:9" x14ac:dyDescent="0.2">
      <c r="A68" s="87" t="s">
        <v>330</v>
      </c>
      <c r="B68" s="88">
        <v>11032</v>
      </c>
      <c r="C68" s="90"/>
      <c r="D68" s="90"/>
      <c r="E68" s="90"/>
      <c r="F68" s="90"/>
      <c r="G68" s="90"/>
      <c r="H68" s="90"/>
      <c r="I68" s="90"/>
    </row>
    <row r="69" spans="1:9" x14ac:dyDescent="0.2">
      <c r="A69" s="95" t="s">
        <v>297</v>
      </c>
      <c r="B69" s="96">
        <v>11049</v>
      </c>
      <c r="C69" s="98">
        <v>3810.8</v>
      </c>
      <c r="D69" s="96">
        <v>80</v>
      </c>
      <c r="E69" s="98">
        <v>4061.7</v>
      </c>
      <c r="F69" s="96">
        <v>83.4</v>
      </c>
      <c r="G69" s="96">
        <v>6.6</v>
      </c>
      <c r="H69" s="96">
        <v>26.1</v>
      </c>
      <c r="I69" s="96">
        <v>220</v>
      </c>
    </row>
    <row r="70" spans="1:9" ht="25" x14ac:dyDescent="0.2">
      <c r="A70" s="99" t="s">
        <v>331</v>
      </c>
      <c r="B70" s="100">
        <v>11129</v>
      </c>
      <c r="C70" s="101">
        <v>3813.6</v>
      </c>
      <c r="D70" s="100">
        <v>80.099999999999994</v>
      </c>
      <c r="E70" s="101">
        <v>4065.9</v>
      </c>
      <c r="F70" s="100">
        <v>83.5</v>
      </c>
      <c r="G70" s="100">
        <v>6.6</v>
      </c>
      <c r="H70" s="102"/>
      <c r="I70" s="102"/>
    </row>
    <row r="71" spans="1:9" x14ac:dyDescent="0.2">
      <c r="A71" s="87" t="s">
        <v>332</v>
      </c>
      <c r="B71" s="88">
        <v>11131</v>
      </c>
      <c r="C71" s="90"/>
      <c r="D71" s="90"/>
      <c r="E71" s="90"/>
      <c r="F71" s="90"/>
      <c r="G71" s="90"/>
      <c r="H71" s="90"/>
      <c r="I71" s="90"/>
    </row>
    <row r="72" spans="1:9" x14ac:dyDescent="0.2">
      <c r="A72" s="87" t="s">
        <v>333</v>
      </c>
      <c r="B72" s="88">
        <v>11132</v>
      </c>
      <c r="C72" s="90"/>
      <c r="D72" s="90"/>
      <c r="E72" s="90"/>
      <c r="F72" s="90"/>
      <c r="G72" s="90"/>
      <c r="H72" s="90"/>
      <c r="I72" s="90"/>
    </row>
    <row r="73" spans="1:9" x14ac:dyDescent="0.2">
      <c r="A73" s="87" t="s">
        <v>334</v>
      </c>
      <c r="B73" s="88">
        <v>11133</v>
      </c>
      <c r="C73" s="90"/>
      <c r="D73" s="90"/>
      <c r="E73" s="90"/>
      <c r="F73" s="90"/>
      <c r="G73" s="90"/>
      <c r="H73" s="90"/>
      <c r="I73" s="90"/>
    </row>
    <row r="74" spans="1:9" x14ac:dyDescent="0.2">
      <c r="A74" s="87" t="s">
        <v>335</v>
      </c>
      <c r="B74" s="88">
        <v>11134</v>
      </c>
      <c r="C74" s="90"/>
      <c r="D74" s="90"/>
      <c r="E74" s="90"/>
      <c r="F74" s="90"/>
      <c r="G74" s="90"/>
      <c r="H74" s="90"/>
      <c r="I74" s="90"/>
    </row>
    <row r="75" spans="1:9" x14ac:dyDescent="0.2">
      <c r="A75" s="87" t="s">
        <v>336</v>
      </c>
      <c r="B75" s="88">
        <v>11135</v>
      </c>
      <c r="C75" s="90"/>
      <c r="D75" s="90"/>
      <c r="E75" s="90"/>
      <c r="F75" s="90"/>
      <c r="G75" s="90"/>
      <c r="H75" s="90"/>
      <c r="I75" s="90"/>
    </row>
    <row r="76" spans="1:9" x14ac:dyDescent="0.2">
      <c r="A76" s="99" t="s">
        <v>337</v>
      </c>
      <c r="B76" s="100">
        <v>11149</v>
      </c>
      <c r="C76" s="102"/>
      <c r="D76" s="102"/>
      <c r="E76" s="102"/>
      <c r="F76" s="102"/>
      <c r="G76" s="102"/>
      <c r="H76" s="102"/>
      <c r="I76" s="102"/>
    </row>
    <row r="77" spans="1:9" x14ac:dyDescent="0.2">
      <c r="A77" s="87" t="s">
        <v>338</v>
      </c>
      <c r="B77" s="88">
        <v>11151</v>
      </c>
      <c r="C77" s="90"/>
      <c r="D77" s="90"/>
      <c r="E77" s="90"/>
      <c r="F77" s="90"/>
      <c r="G77" s="90"/>
      <c r="H77" s="90"/>
      <c r="I77" s="90"/>
    </row>
    <row r="78" spans="1:9" x14ac:dyDescent="0.2">
      <c r="A78" s="87" t="s">
        <v>339</v>
      </c>
      <c r="B78" s="88">
        <v>11152</v>
      </c>
      <c r="C78" s="90"/>
      <c r="D78" s="90"/>
      <c r="E78" s="90"/>
      <c r="F78" s="90"/>
      <c r="G78" s="90"/>
      <c r="H78" s="90"/>
      <c r="I78" s="90"/>
    </row>
    <row r="79" spans="1:9" x14ac:dyDescent="0.2">
      <c r="A79" s="99" t="s">
        <v>340</v>
      </c>
      <c r="B79" s="100">
        <v>11169</v>
      </c>
      <c r="C79" s="102"/>
      <c r="D79" s="102"/>
      <c r="E79" s="102"/>
      <c r="F79" s="102"/>
      <c r="G79" s="102"/>
      <c r="H79" s="102"/>
      <c r="I79" s="102"/>
    </row>
    <row r="80" spans="1:9" x14ac:dyDescent="0.2">
      <c r="A80" s="95" t="s">
        <v>298</v>
      </c>
      <c r="B80" s="96">
        <v>11179</v>
      </c>
      <c r="C80" s="97"/>
      <c r="D80" s="97"/>
      <c r="E80" s="97"/>
      <c r="F80" s="97"/>
      <c r="G80" s="97"/>
      <c r="H80" s="97"/>
      <c r="I80" s="97"/>
    </row>
    <row r="81" spans="1:9" x14ac:dyDescent="0.2">
      <c r="A81" s="95" t="s">
        <v>299</v>
      </c>
      <c r="B81" s="96">
        <v>11189</v>
      </c>
      <c r="C81" s="98">
        <v>3813.6</v>
      </c>
      <c r="D81" s="96">
        <v>80.099999999999994</v>
      </c>
      <c r="E81" s="98">
        <v>4065.9</v>
      </c>
      <c r="F81" s="96">
        <v>83.5</v>
      </c>
      <c r="G81" s="96">
        <v>6.6</v>
      </c>
      <c r="H81" s="96">
        <v>26.6</v>
      </c>
      <c r="I81" s="96">
        <v>213.6</v>
      </c>
    </row>
    <row r="82" spans="1:9" x14ac:dyDescent="0.2">
      <c r="A82" s="87" t="s">
        <v>341</v>
      </c>
      <c r="B82" s="88">
        <v>11221</v>
      </c>
      <c r="C82" s="88">
        <v>41</v>
      </c>
      <c r="D82" s="88">
        <v>0.9</v>
      </c>
      <c r="E82" s="88">
        <v>51</v>
      </c>
      <c r="F82" s="88">
        <v>1.1000000000000001</v>
      </c>
      <c r="G82" s="88">
        <v>24.4</v>
      </c>
      <c r="H82" s="90"/>
      <c r="I82" s="90"/>
    </row>
    <row r="83" spans="1:9" x14ac:dyDescent="0.2">
      <c r="A83" s="87" t="s">
        <v>342</v>
      </c>
      <c r="B83" s="88">
        <v>11222</v>
      </c>
      <c r="C83" s="88">
        <v>386</v>
      </c>
      <c r="D83" s="88">
        <v>8.1</v>
      </c>
      <c r="E83" s="88">
        <v>256.39999999999998</v>
      </c>
      <c r="F83" s="88">
        <v>5.3</v>
      </c>
      <c r="G83" s="88">
        <v>-33.6</v>
      </c>
      <c r="H83" s="90"/>
      <c r="I83" s="90"/>
    </row>
    <row r="84" spans="1:9" x14ac:dyDescent="0.2">
      <c r="A84" s="87" t="s">
        <v>300</v>
      </c>
      <c r="B84" s="88">
        <v>11228</v>
      </c>
      <c r="C84" s="88">
        <v>386</v>
      </c>
      <c r="D84" s="88">
        <v>8.1</v>
      </c>
      <c r="E84" s="88">
        <v>201.7</v>
      </c>
      <c r="F84" s="88">
        <v>4.0999999999999996</v>
      </c>
      <c r="G84" s="88">
        <v>-47.8</v>
      </c>
      <c r="H84" s="90"/>
      <c r="I84" s="90"/>
    </row>
    <row r="85" spans="1:9" x14ac:dyDescent="0.2">
      <c r="A85" s="87" t="s">
        <v>301</v>
      </c>
      <c r="B85" s="88">
        <v>11230</v>
      </c>
      <c r="C85" s="90"/>
      <c r="D85" s="90"/>
      <c r="E85" s="90"/>
      <c r="F85" s="90"/>
      <c r="G85" s="90"/>
      <c r="H85" s="90"/>
      <c r="I85" s="90"/>
    </row>
    <row r="86" spans="1:9" x14ac:dyDescent="0.2">
      <c r="A86" s="87" t="s">
        <v>343</v>
      </c>
      <c r="B86" s="88">
        <v>11224</v>
      </c>
      <c r="C86" s="90"/>
      <c r="D86" s="90"/>
      <c r="E86" s="90"/>
      <c r="F86" s="90"/>
      <c r="G86" s="90"/>
      <c r="H86" s="90"/>
      <c r="I86" s="90"/>
    </row>
    <row r="87" spans="1:9" x14ac:dyDescent="0.2">
      <c r="A87" s="87" t="s">
        <v>344</v>
      </c>
      <c r="B87" s="88">
        <v>11225</v>
      </c>
      <c r="C87" s="90"/>
      <c r="D87" s="90"/>
      <c r="E87" s="90"/>
      <c r="F87" s="90"/>
      <c r="G87" s="90"/>
      <c r="H87" s="90"/>
      <c r="I87" s="90"/>
    </row>
    <row r="88" spans="1:9" x14ac:dyDescent="0.2">
      <c r="A88" s="87" t="s">
        <v>345</v>
      </c>
      <c r="B88" s="88">
        <v>11226</v>
      </c>
      <c r="C88" s="90"/>
      <c r="D88" s="90"/>
      <c r="E88" s="90"/>
      <c r="F88" s="90"/>
      <c r="G88" s="90"/>
      <c r="H88" s="90"/>
      <c r="I88" s="90"/>
    </row>
    <row r="89" spans="1:9" x14ac:dyDescent="0.2">
      <c r="A89" s="95" t="s">
        <v>31</v>
      </c>
      <c r="B89" s="96">
        <v>11249</v>
      </c>
      <c r="C89" s="96">
        <v>41</v>
      </c>
      <c r="D89" s="96">
        <v>0.9</v>
      </c>
      <c r="E89" s="96">
        <v>105.7</v>
      </c>
      <c r="F89" s="96">
        <v>2.2000000000000002</v>
      </c>
      <c r="G89" s="96">
        <v>157.80000000000001</v>
      </c>
      <c r="H89" s="96">
        <v>34.299999999999997</v>
      </c>
      <c r="I89" s="96">
        <v>-93.7</v>
      </c>
    </row>
    <row r="90" spans="1:9" x14ac:dyDescent="0.2">
      <c r="A90" s="87" t="s">
        <v>302</v>
      </c>
      <c r="B90" s="88">
        <v>11291</v>
      </c>
      <c r="C90" s="88">
        <v>834.2</v>
      </c>
      <c r="D90" s="88">
        <v>17.5</v>
      </c>
      <c r="E90" s="88">
        <v>546.9</v>
      </c>
      <c r="F90" s="88">
        <v>11.2</v>
      </c>
      <c r="G90" s="88">
        <v>-34.4</v>
      </c>
      <c r="H90" s="88">
        <v>15.5</v>
      </c>
      <c r="I90" s="88">
        <v>-27.3</v>
      </c>
    </row>
    <row r="91" spans="1:9" x14ac:dyDescent="0.2">
      <c r="A91" s="87" t="s">
        <v>346</v>
      </c>
      <c r="B91" s="88">
        <v>11294</v>
      </c>
      <c r="C91" s="90"/>
      <c r="D91" s="90"/>
      <c r="E91" s="90"/>
      <c r="F91" s="90"/>
      <c r="G91" s="90"/>
      <c r="H91" s="90"/>
      <c r="I91" s="90"/>
    </row>
    <row r="92" spans="1:9" x14ac:dyDescent="0.2">
      <c r="A92" s="87" t="s">
        <v>347</v>
      </c>
      <c r="B92" s="88">
        <v>11295</v>
      </c>
      <c r="C92" s="90"/>
      <c r="D92" s="90"/>
      <c r="E92" s="90"/>
      <c r="F92" s="90"/>
      <c r="G92" s="90"/>
      <c r="H92" s="90"/>
      <c r="I92" s="90"/>
    </row>
    <row r="93" spans="1:9" x14ac:dyDescent="0.2">
      <c r="A93" s="87" t="s">
        <v>348</v>
      </c>
      <c r="B93" s="88">
        <v>11296</v>
      </c>
      <c r="C93" s="90"/>
      <c r="D93" s="90"/>
      <c r="E93" s="90"/>
      <c r="F93" s="90"/>
      <c r="G93" s="90"/>
      <c r="H93" s="90"/>
      <c r="I93" s="90"/>
    </row>
    <row r="94" spans="1:9" x14ac:dyDescent="0.2">
      <c r="A94" s="87" t="s">
        <v>349</v>
      </c>
      <c r="B94" s="88">
        <v>11297</v>
      </c>
      <c r="C94" s="90"/>
      <c r="D94" s="90"/>
      <c r="E94" s="90"/>
      <c r="F94" s="90"/>
      <c r="G94" s="90"/>
      <c r="H94" s="90"/>
      <c r="I94" s="90"/>
    </row>
    <row r="95" spans="1:9" x14ac:dyDescent="0.2">
      <c r="A95" s="87" t="s">
        <v>350</v>
      </c>
      <c r="B95" s="88">
        <v>11298</v>
      </c>
      <c r="C95" s="88">
        <v>7.7</v>
      </c>
      <c r="D95" s="88">
        <v>0.2</v>
      </c>
      <c r="E95" s="88">
        <v>10.7</v>
      </c>
      <c r="F95" s="88">
        <v>0.2</v>
      </c>
      <c r="G95" s="88">
        <v>39</v>
      </c>
      <c r="H95" s="90"/>
      <c r="I95" s="90"/>
    </row>
    <row r="96" spans="1:9" x14ac:dyDescent="0.2">
      <c r="A96" s="95" t="s">
        <v>351</v>
      </c>
      <c r="B96" s="96">
        <v>11319</v>
      </c>
      <c r="C96" s="96">
        <v>841.9</v>
      </c>
      <c r="D96" s="96">
        <v>17.7</v>
      </c>
      <c r="E96" s="96">
        <v>557.6</v>
      </c>
      <c r="F96" s="96">
        <v>11.4</v>
      </c>
      <c r="G96" s="96">
        <v>-33.799999999999997</v>
      </c>
      <c r="H96" s="97"/>
      <c r="I96" s="97"/>
    </row>
    <row r="97" spans="1:9" x14ac:dyDescent="0.2">
      <c r="A97" s="87" t="s">
        <v>352</v>
      </c>
      <c r="B97" s="88">
        <v>11328</v>
      </c>
      <c r="C97" s="90"/>
      <c r="D97" s="90"/>
      <c r="E97" s="90"/>
      <c r="F97" s="90"/>
      <c r="G97" s="90"/>
      <c r="H97" s="90"/>
      <c r="I97" s="90"/>
    </row>
    <row r="98" spans="1:9" x14ac:dyDescent="0.2">
      <c r="A98" s="87" t="s">
        <v>353</v>
      </c>
      <c r="B98" s="88">
        <v>11330</v>
      </c>
      <c r="C98" s="88">
        <v>29.2</v>
      </c>
      <c r="D98" s="88">
        <v>0.6</v>
      </c>
      <c r="E98" s="88">
        <v>63.1</v>
      </c>
      <c r="F98" s="88">
        <v>1.3</v>
      </c>
      <c r="G98" s="88">
        <v>116.1</v>
      </c>
      <c r="H98" s="90"/>
      <c r="I98" s="90"/>
    </row>
    <row r="99" spans="1:9" x14ac:dyDescent="0.2">
      <c r="A99" s="87" t="s">
        <v>354</v>
      </c>
      <c r="B99" s="88">
        <v>11331</v>
      </c>
      <c r="C99" s="90"/>
      <c r="D99" s="90"/>
      <c r="E99" s="90"/>
      <c r="F99" s="90"/>
      <c r="G99" s="90"/>
      <c r="H99" s="90"/>
      <c r="I99" s="90"/>
    </row>
    <row r="100" spans="1:9" x14ac:dyDescent="0.2">
      <c r="A100" s="99" t="s">
        <v>355</v>
      </c>
      <c r="B100" s="100">
        <v>11349</v>
      </c>
      <c r="C100" s="100">
        <v>29.2</v>
      </c>
      <c r="D100" s="100">
        <v>0.6</v>
      </c>
      <c r="E100" s="100">
        <v>63.1</v>
      </c>
      <c r="F100" s="100">
        <v>1.3</v>
      </c>
      <c r="G100" s="100">
        <v>116.1</v>
      </c>
      <c r="H100" s="102"/>
      <c r="I100" s="102"/>
    </row>
    <row r="101" spans="1:9" x14ac:dyDescent="0.2">
      <c r="A101" s="87" t="s">
        <v>356</v>
      </c>
      <c r="B101" s="88">
        <v>11351</v>
      </c>
      <c r="C101" s="88">
        <v>26.4</v>
      </c>
      <c r="D101" s="88">
        <v>0.6</v>
      </c>
      <c r="E101" s="88">
        <v>34.5</v>
      </c>
      <c r="F101" s="88">
        <v>0.7</v>
      </c>
      <c r="G101" s="88">
        <v>30.7</v>
      </c>
      <c r="H101" s="90"/>
      <c r="I101" s="90"/>
    </row>
    <row r="102" spans="1:9" x14ac:dyDescent="0.2">
      <c r="A102" s="87" t="s">
        <v>357</v>
      </c>
      <c r="B102" s="88">
        <v>11352</v>
      </c>
      <c r="C102" s="90"/>
      <c r="D102" s="90"/>
      <c r="E102" s="90"/>
      <c r="F102" s="90"/>
      <c r="G102" s="90"/>
      <c r="H102" s="90"/>
      <c r="I102" s="90"/>
    </row>
    <row r="103" spans="1:9" x14ac:dyDescent="0.2">
      <c r="A103" s="95" t="s">
        <v>303</v>
      </c>
      <c r="B103" s="96">
        <v>11369</v>
      </c>
      <c r="C103" s="96">
        <v>26.4</v>
      </c>
      <c r="D103" s="96">
        <v>0.6</v>
      </c>
      <c r="E103" s="96">
        <v>34.5</v>
      </c>
      <c r="F103" s="96">
        <v>0.7</v>
      </c>
      <c r="G103" s="96">
        <v>30.7</v>
      </c>
      <c r="H103" s="96">
        <v>5.5</v>
      </c>
      <c r="I103" s="96">
        <v>-87.2</v>
      </c>
    </row>
    <row r="104" spans="1:9" x14ac:dyDescent="0.2">
      <c r="A104" s="87" t="s">
        <v>358</v>
      </c>
      <c r="B104" s="88">
        <v>11370</v>
      </c>
      <c r="C104" s="90"/>
      <c r="D104" s="90"/>
      <c r="E104" s="90"/>
      <c r="F104" s="90"/>
      <c r="G104" s="90"/>
      <c r="H104" s="90"/>
      <c r="I104" s="90"/>
    </row>
    <row r="105" spans="1:9" x14ac:dyDescent="0.2">
      <c r="A105" s="95" t="s">
        <v>304</v>
      </c>
      <c r="B105" s="96">
        <v>11379</v>
      </c>
      <c r="C105" s="96">
        <v>938.5</v>
      </c>
      <c r="D105" s="96">
        <v>19.7</v>
      </c>
      <c r="E105" s="96">
        <v>760.9</v>
      </c>
      <c r="F105" s="96">
        <v>15.6</v>
      </c>
      <c r="G105" s="96">
        <v>-18.899999999999999</v>
      </c>
      <c r="H105" s="96">
        <v>71.8</v>
      </c>
      <c r="I105" s="96">
        <v>-78.2</v>
      </c>
    </row>
    <row r="106" spans="1:9" x14ac:dyDescent="0.2">
      <c r="A106" s="87" t="s">
        <v>359</v>
      </c>
      <c r="B106" s="88">
        <v>11401</v>
      </c>
      <c r="C106" s="90"/>
      <c r="D106" s="90"/>
      <c r="E106" s="90"/>
      <c r="F106" s="90"/>
      <c r="G106" s="90"/>
      <c r="H106" s="90"/>
      <c r="I106" s="90"/>
    </row>
    <row r="107" spans="1:9" x14ac:dyDescent="0.2">
      <c r="A107" s="87" t="s">
        <v>360</v>
      </c>
      <c r="B107" s="88">
        <v>11402</v>
      </c>
      <c r="C107" s="90"/>
      <c r="D107" s="90"/>
      <c r="E107" s="90"/>
      <c r="F107" s="90"/>
      <c r="G107" s="90"/>
      <c r="H107" s="90"/>
      <c r="I107" s="90"/>
    </row>
    <row r="108" spans="1:9" x14ac:dyDescent="0.2">
      <c r="A108" s="99" t="s">
        <v>361</v>
      </c>
      <c r="B108" s="100">
        <v>11419</v>
      </c>
      <c r="C108" s="100">
        <v>9.6999999999999993</v>
      </c>
      <c r="D108" s="100">
        <v>0.2</v>
      </c>
      <c r="E108" s="100">
        <v>42.1</v>
      </c>
      <c r="F108" s="100">
        <v>0.9</v>
      </c>
      <c r="G108" s="100">
        <v>334</v>
      </c>
      <c r="H108" s="102"/>
      <c r="I108" s="102"/>
    </row>
    <row r="109" spans="1:9" x14ac:dyDescent="0.2">
      <c r="A109" s="87" t="s">
        <v>362</v>
      </c>
      <c r="B109" s="88">
        <v>11421</v>
      </c>
      <c r="C109" s="90"/>
      <c r="D109" s="90"/>
      <c r="E109" s="90"/>
      <c r="F109" s="90"/>
      <c r="G109" s="90"/>
      <c r="H109" s="90"/>
      <c r="I109" s="90"/>
    </row>
    <row r="110" spans="1:9" x14ac:dyDescent="0.2">
      <c r="A110" s="99" t="s">
        <v>363</v>
      </c>
      <c r="B110" s="100">
        <v>11439</v>
      </c>
      <c r="C110" s="102"/>
      <c r="D110" s="102"/>
      <c r="E110" s="102"/>
      <c r="F110" s="102"/>
      <c r="G110" s="102"/>
      <c r="H110" s="102"/>
      <c r="I110" s="102"/>
    </row>
    <row r="111" spans="1:9" x14ac:dyDescent="0.2">
      <c r="A111" s="87" t="s">
        <v>364</v>
      </c>
      <c r="B111" s="88">
        <v>11451</v>
      </c>
      <c r="C111" s="90"/>
      <c r="D111" s="90"/>
      <c r="E111" s="90"/>
      <c r="F111" s="90"/>
      <c r="G111" s="90"/>
      <c r="H111" s="90"/>
      <c r="I111" s="90"/>
    </row>
    <row r="112" spans="1:9" x14ac:dyDescent="0.2">
      <c r="A112" s="99" t="s">
        <v>365</v>
      </c>
      <c r="B112" s="100">
        <v>11459</v>
      </c>
      <c r="C112" s="102"/>
      <c r="D112" s="102"/>
      <c r="E112" s="102"/>
      <c r="F112" s="102"/>
      <c r="G112" s="102"/>
      <c r="H112" s="102"/>
      <c r="I112" s="102"/>
    </row>
    <row r="113" spans="1:9" x14ac:dyDescent="0.2">
      <c r="A113" s="99" t="s">
        <v>366</v>
      </c>
      <c r="B113" s="100">
        <v>11469</v>
      </c>
      <c r="C113" s="102"/>
      <c r="D113" s="102"/>
      <c r="E113" s="102"/>
      <c r="F113" s="102"/>
      <c r="G113" s="102"/>
      <c r="H113" s="102"/>
      <c r="I113" s="102"/>
    </row>
    <row r="114" spans="1:9" x14ac:dyDescent="0.2">
      <c r="A114" s="95" t="s">
        <v>305</v>
      </c>
      <c r="B114" s="96">
        <v>11500</v>
      </c>
      <c r="C114" s="98">
        <v>4761.8</v>
      </c>
      <c r="D114" s="96">
        <v>100</v>
      </c>
      <c r="E114" s="98">
        <v>4868.8999999999996</v>
      </c>
      <c r="F114" s="96">
        <v>100</v>
      </c>
      <c r="G114" s="96">
        <v>2.2999999999999998</v>
      </c>
      <c r="H114" s="97"/>
      <c r="I114" s="97"/>
    </row>
    <row r="115" spans="1:9" ht="16" x14ac:dyDescent="0.2">
      <c r="A115" s="57"/>
    </row>
    <row r="116" spans="1:9" ht="16" x14ac:dyDescent="0.2">
      <c r="A116" s="57"/>
    </row>
    <row r="117" spans="1:9" ht="16" x14ac:dyDescent="0.2">
      <c r="A117" s="57" t="s">
        <v>367</v>
      </c>
    </row>
    <row r="118" spans="1:9" x14ac:dyDescent="0.2">
      <c r="A118" s="72"/>
      <c r="B118" s="73"/>
      <c r="C118" s="74" t="s">
        <v>253</v>
      </c>
      <c r="D118" s="75"/>
      <c r="E118" s="74" t="s">
        <v>253</v>
      </c>
      <c r="F118" s="75"/>
      <c r="G118" s="76" t="s">
        <v>292</v>
      </c>
      <c r="H118" s="77" t="s">
        <v>293</v>
      </c>
      <c r="I118" s="76" t="s">
        <v>322</v>
      </c>
    </row>
    <row r="119" spans="1:9" x14ac:dyDescent="0.2">
      <c r="A119" s="78"/>
      <c r="B119" s="79"/>
      <c r="C119" s="80">
        <v>2023</v>
      </c>
      <c r="D119" s="81"/>
      <c r="E119" s="80">
        <v>2024</v>
      </c>
      <c r="F119" s="81"/>
      <c r="G119" s="82"/>
      <c r="H119" s="83">
        <v>2024</v>
      </c>
      <c r="I119" s="82"/>
    </row>
    <row r="120" spans="1:9" x14ac:dyDescent="0.2">
      <c r="A120" s="84"/>
      <c r="B120" s="85"/>
      <c r="C120" s="86" t="s">
        <v>294</v>
      </c>
      <c r="D120" s="86" t="s">
        <v>295</v>
      </c>
      <c r="E120" s="86" t="s">
        <v>294</v>
      </c>
      <c r="F120" s="86" t="s">
        <v>295</v>
      </c>
      <c r="G120" s="86" t="s">
        <v>295</v>
      </c>
      <c r="H120" s="86" t="s">
        <v>295</v>
      </c>
      <c r="I120" s="86" t="s">
        <v>295</v>
      </c>
    </row>
    <row r="121" spans="1:9" x14ac:dyDescent="0.2">
      <c r="A121" s="87" t="s">
        <v>368</v>
      </c>
      <c r="B121" s="88">
        <v>12001</v>
      </c>
      <c r="C121" s="90"/>
      <c r="D121" s="90"/>
      <c r="E121" s="90"/>
      <c r="F121" s="90"/>
      <c r="G121" s="90"/>
      <c r="H121" s="90"/>
      <c r="I121" s="90"/>
    </row>
    <row r="122" spans="1:9" x14ac:dyDescent="0.2">
      <c r="A122" s="87" t="s">
        <v>369</v>
      </c>
      <c r="B122" s="88">
        <v>12002</v>
      </c>
      <c r="C122" s="90"/>
      <c r="D122" s="90"/>
      <c r="E122" s="90"/>
      <c r="F122" s="90"/>
      <c r="G122" s="90"/>
      <c r="H122" s="90"/>
      <c r="I122" s="90"/>
    </row>
    <row r="123" spans="1:9" x14ac:dyDescent="0.2">
      <c r="A123" s="87" t="s">
        <v>370</v>
      </c>
      <c r="B123" s="88">
        <v>12003</v>
      </c>
      <c r="C123" s="90"/>
      <c r="D123" s="90"/>
      <c r="E123" s="90"/>
      <c r="F123" s="90"/>
      <c r="G123" s="90"/>
      <c r="H123" s="90"/>
      <c r="I123" s="90"/>
    </row>
    <row r="124" spans="1:9" x14ac:dyDescent="0.2">
      <c r="A124" s="95" t="s">
        <v>371</v>
      </c>
      <c r="B124" s="96">
        <v>12009</v>
      </c>
      <c r="C124" s="96">
        <v>-20.3</v>
      </c>
      <c r="D124" s="96">
        <v>-0.4</v>
      </c>
      <c r="E124" s="96">
        <v>-41.8</v>
      </c>
      <c r="F124" s="96">
        <v>-0.9</v>
      </c>
      <c r="G124" s="96">
        <v>-105.9</v>
      </c>
      <c r="H124" s="97"/>
      <c r="I124" s="97"/>
    </row>
    <row r="125" spans="1:9" x14ac:dyDescent="0.2">
      <c r="A125" s="87" t="s">
        <v>372</v>
      </c>
      <c r="B125" s="88">
        <v>12011</v>
      </c>
      <c r="C125" s="90"/>
      <c r="D125" s="90"/>
      <c r="E125" s="90"/>
      <c r="F125" s="90"/>
      <c r="G125" s="90"/>
      <c r="H125" s="90"/>
      <c r="I125" s="90"/>
    </row>
    <row r="126" spans="1:9" x14ac:dyDescent="0.2">
      <c r="A126" s="87" t="s">
        <v>373</v>
      </c>
      <c r="B126" s="88">
        <v>12012</v>
      </c>
      <c r="C126" s="90"/>
      <c r="D126" s="90"/>
      <c r="E126" s="90"/>
      <c r="F126" s="90"/>
      <c r="G126" s="90"/>
      <c r="H126" s="90"/>
      <c r="I126" s="90"/>
    </row>
    <row r="127" spans="1:9" x14ac:dyDescent="0.2">
      <c r="A127" s="99" t="s">
        <v>374</v>
      </c>
      <c r="B127" s="100">
        <v>12029</v>
      </c>
      <c r="C127" s="100">
        <v>-20.3</v>
      </c>
      <c r="D127" s="100">
        <v>-0.4</v>
      </c>
      <c r="E127" s="100">
        <v>-41.8</v>
      </c>
      <c r="F127" s="100">
        <v>-0.9</v>
      </c>
      <c r="G127" s="100">
        <v>-105.9</v>
      </c>
      <c r="H127" s="102"/>
      <c r="I127" s="102"/>
    </row>
    <row r="128" spans="1:9" x14ac:dyDescent="0.2">
      <c r="A128" s="87" t="s">
        <v>375</v>
      </c>
      <c r="B128" s="88">
        <v>12031</v>
      </c>
      <c r="C128" s="90"/>
      <c r="D128" s="90"/>
      <c r="E128" s="90"/>
      <c r="F128" s="90"/>
      <c r="G128" s="90"/>
      <c r="H128" s="90"/>
      <c r="I128" s="90"/>
    </row>
    <row r="129" spans="1:9" x14ac:dyDescent="0.2">
      <c r="A129" s="87" t="s">
        <v>376</v>
      </c>
      <c r="B129" s="88">
        <v>12032</v>
      </c>
      <c r="C129" s="90"/>
      <c r="D129" s="90"/>
      <c r="E129" s="90"/>
      <c r="F129" s="90"/>
      <c r="G129" s="90"/>
      <c r="H129" s="90"/>
      <c r="I129" s="90"/>
    </row>
    <row r="130" spans="1:9" x14ac:dyDescent="0.2">
      <c r="A130" s="87" t="s">
        <v>377</v>
      </c>
      <c r="B130" s="88">
        <v>12033</v>
      </c>
      <c r="C130" s="90"/>
      <c r="D130" s="90"/>
      <c r="E130" s="90"/>
      <c r="F130" s="90"/>
      <c r="G130" s="90"/>
      <c r="H130" s="90"/>
      <c r="I130" s="90"/>
    </row>
    <row r="131" spans="1:9" x14ac:dyDescent="0.2">
      <c r="A131" s="87" t="s">
        <v>378</v>
      </c>
      <c r="B131" s="88">
        <v>12034</v>
      </c>
      <c r="C131" s="90"/>
      <c r="D131" s="90"/>
      <c r="E131" s="90"/>
      <c r="F131" s="90"/>
      <c r="G131" s="90"/>
      <c r="H131" s="90"/>
      <c r="I131" s="90"/>
    </row>
    <row r="132" spans="1:9" x14ac:dyDescent="0.2">
      <c r="A132" s="87" t="s">
        <v>379</v>
      </c>
      <c r="B132" s="88">
        <v>12035</v>
      </c>
      <c r="C132" s="90"/>
      <c r="D132" s="90"/>
      <c r="E132" s="90"/>
      <c r="F132" s="90"/>
      <c r="G132" s="90"/>
      <c r="H132" s="90"/>
      <c r="I132" s="90"/>
    </row>
    <row r="133" spans="1:9" x14ac:dyDescent="0.2">
      <c r="A133" s="87" t="s">
        <v>380</v>
      </c>
      <c r="B133" s="88">
        <v>12036</v>
      </c>
      <c r="C133" s="90"/>
      <c r="D133" s="90"/>
      <c r="E133" s="90"/>
      <c r="F133" s="90"/>
      <c r="G133" s="90"/>
      <c r="H133" s="90"/>
      <c r="I133" s="90"/>
    </row>
    <row r="134" spans="1:9" x14ac:dyDescent="0.2">
      <c r="A134" s="99" t="s">
        <v>381</v>
      </c>
      <c r="B134" s="100">
        <v>12049</v>
      </c>
      <c r="C134" s="100">
        <v>91.3</v>
      </c>
      <c r="D134" s="100">
        <v>1.9</v>
      </c>
      <c r="E134" s="100">
        <v>91.3</v>
      </c>
      <c r="F134" s="100">
        <v>1.9</v>
      </c>
      <c r="G134" s="102"/>
      <c r="H134" s="102"/>
      <c r="I134" s="102"/>
    </row>
    <row r="135" spans="1:9" x14ac:dyDescent="0.2">
      <c r="A135" s="87" t="s">
        <v>382</v>
      </c>
      <c r="B135" s="88">
        <v>12054</v>
      </c>
      <c r="C135" s="90"/>
      <c r="D135" s="90"/>
      <c r="E135" s="90"/>
      <c r="F135" s="90"/>
      <c r="G135" s="90"/>
      <c r="H135" s="90"/>
      <c r="I135" s="90"/>
    </row>
    <row r="136" spans="1:9" x14ac:dyDescent="0.2">
      <c r="A136" s="99" t="s">
        <v>383</v>
      </c>
      <c r="B136" s="100">
        <v>12069</v>
      </c>
      <c r="C136" s="102"/>
      <c r="D136" s="102"/>
      <c r="E136" s="102"/>
      <c r="F136" s="102"/>
      <c r="G136" s="102"/>
      <c r="H136" s="102"/>
      <c r="I136" s="102"/>
    </row>
    <row r="137" spans="1:9" x14ac:dyDescent="0.2">
      <c r="A137" s="87" t="s">
        <v>384</v>
      </c>
      <c r="B137" s="88">
        <v>12071</v>
      </c>
      <c r="C137" s="90"/>
      <c r="D137" s="90"/>
      <c r="E137" s="90"/>
      <c r="F137" s="90"/>
      <c r="G137" s="90"/>
      <c r="H137" s="90"/>
      <c r="I137" s="90"/>
    </row>
    <row r="138" spans="1:9" x14ac:dyDescent="0.2">
      <c r="A138" s="87" t="s">
        <v>385</v>
      </c>
      <c r="B138" s="88">
        <v>12072</v>
      </c>
      <c r="C138" s="90"/>
      <c r="D138" s="90"/>
      <c r="E138" s="90"/>
      <c r="F138" s="90"/>
      <c r="G138" s="90"/>
      <c r="H138" s="90"/>
      <c r="I138" s="90"/>
    </row>
    <row r="139" spans="1:9" x14ac:dyDescent="0.2">
      <c r="A139" s="87" t="s">
        <v>386</v>
      </c>
      <c r="B139" s="88">
        <v>12073</v>
      </c>
      <c r="C139" s="88">
        <v>51</v>
      </c>
      <c r="D139" s="88">
        <v>1.1000000000000001</v>
      </c>
      <c r="E139" s="88">
        <v>91.8</v>
      </c>
      <c r="F139" s="88">
        <v>1.9</v>
      </c>
      <c r="G139" s="88">
        <v>80</v>
      </c>
      <c r="H139" s="90"/>
      <c r="I139" s="90"/>
    </row>
    <row r="140" spans="1:9" x14ac:dyDescent="0.2">
      <c r="A140" s="87" t="s">
        <v>387</v>
      </c>
      <c r="B140" s="88">
        <v>12074</v>
      </c>
      <c r="C140" s="90"/>
      <c r="D140" s="90"/>
      <c r="E140" s="90"/>
      <c r="F140" s="90"/>
      <c r="G140" s="90"/>
      <c r="H140" s="90"/>
      <c r="I140" s="90"/>
    </row>
    <row r="141" spans="1:9" x14ac:dyDescent="0.2">
      <c r="A141" s="87" t="s">
        <v>40</v>
      </c>
      <c r="B141" s="88">
        <v>12075</v>
      </c>
      <c r="C141" s="90"/>
      <c r="D141" s="90"/>
      <c r="E141" s="90"/>
      <c r="F141" s="90"/>
      <c r="G141" s="90"/>
      <c r="H141" s="90"/>
      <c r="I141" s="90"/>
    </row>
    <row r="142" spans="1:9" x14ac:dyDescent="0.2">
      <c r="A142" s="87" t="s">
        <v>388</v>
      </c>
      <c r="B142" s="88">
        <v>12076</v>
      </c>
      <c r="C142" s="90"/>
      <c r="D142" s="90"/>
      <c r="E142" s="90"/>
      <c r="F142" s="90"/>
      <c r="G142" s="90"/>
      <c r="H142" s="90"/>
      <c r="I142" s="90"/>
    </row>
    <row r="143" spans="1:9" x14ac:dyDescent="0.2">
      <c r="A143" s="87" t="s">
        <v>389</v>
      </c>
      <c r="B143" s="88">
        <v>12077</v>
      </c>
      <c r="C143" s="90"/>
      <c r="D143" s="90"/>
      <c r="E143" s="90"/>
      <c r="F143" s="90"/>
      <c r="G143" s="90"/>
      <c r="H143" s="90"/>
      <c r="I143" s="90"/>
    </row>
    <row r="144" spans="1:9" x14ac:dyDescent="0.2">
      <c r="A144" s="87" t="s">
        <v>390</v>
      </c>
      <c r="B144" s="88">
        <v>12078</v>
      </c>
      <c r="C144" s="90"/>
      <c r="D144" s="90"/>
      <c r="E144" s="90"/>
      <c r="F144" s="90"/>
      <c r="G144" s="90"/>
      <c r="H144" s="90"/>
      <c r="I144" s="90"/>
    </row>
    <row r="145" spans="1:9" x14ac:dyDescent="0.2">
      <c r="A145" s="95" t="s">
        <v>306</v>
      </c>
      <c r="B145" s="96">
        <v>12099</v>
      </c>
      <c r="C145" s="96">
        <v>122</v>
      </c>
      <c r="D145" s="96">
        <v>2.6</v>
      </c>
      <c r="E145" s="96">
        <v>141.30000000000001</v>
      </c>
      <c r="F145" s="96">
        <v>2.9</v>
      </c>
      <c r="G145" s="96">
        <v>15.8</v>
      </c>
      <c r="H145" s="97"/>
      <c r="I145" s="97"/>
    </row>
    <row r="146" spans="1:9" x14ac:dyDescent="0.2">
      <c r="A146" s="87" t="s">
        <v>391</v>
      </c>
      <c r="B146" s="88">
        <v>12101</v>
      </c>
      <c r="C146" s="90"/>
      <c r="D146" s="90"/>
      <c r="E146" s="90"/>
      <c r="F146" s="90"/>
      <c r="G146" s="90"/>
      <c r="H146" s="90"/>
      <c r="I146" s="90"/>
    </row>
    <row r="147" spans="1:9" ht="25" x14ac:dyDescent="0.2">
      <c r="A147" s="87" t="s">
        <v>392</v>
      </c>
      <c r="B147" s="88">
        <v>12102</v>
      </c>
      <c r="C147" s="90"/>
      <c r="D147" s="90"/>
      <c r="E147" s="90"/>
      <c r="F147" s="90"/>
      <c r="G147" s="90"/>
      <c r="H147" s="90"/>
      <c r="I147" s="90"/>
    </row>
    <row r="148" spans="1:9" x14ac:dyDescent="0.2">
      <c r="A148" s="87" t="s">
        <v>393</v>
      </c>
      <c r="B148" s="88">
        <v>12103</v>
      </c>
      <c r="C148" s="90"/>
      <c r="D148" s="90"/>
      <c r="E148" s="90"/>
      <c r="F148" s="90"/>
      <c r="G148" s="90"/>
      <c r="H148" s="90"/>
      <c r="I148" s="90"/>
    </row>
    <row r="149" spans="1:9" x14ac:dyDescent="0.2">
      <c r="A149" s="87" t="s">
        <v>394</v>
      </c>
      <c r="B149" s="88">
        <v>12104</v>
      </c>
      <c r="C149" s="90"/>
      <c r="D149" s="90"/>
      <c r="E149" s="90"/>
      <c r="F149" s="90"/>
      <c r="G149" s="90"/>
      <c r="H149" s="90"/>
      <c r="I149" s="90"/>
    </row>
    <row r="150" spans="1:9" x14ac:dyDescent="0.2">
      <c r="A150" s="87" t="s">
        <v>349</v>
      </c>
      <c r="B150" s="88">
        <v>12105</v>
      </c>
      <c r="C150" s="90"/>
      <c r="D150" s="90"/>
      <c r="E150" s="90"/>
      <c r="F150" s="90"/>
      <c r="G150" s="90"/>
      <c r="H150" s="90"/>
      <c r="I150" s="90"/>
    </row>
    <row r="151" spans="1:9" x14ac:dyDescent="0.2">
      <c r="A151" s="87" t="s">
        <v>395</v>
      </c>
      <c r="B151" s="88">
        <v>12106</v>
      </c>
      <c r="C151" s="90"/>
      <c r="D151" s="90"/>
      <c r="E151" s="90"/>
      <c r="F151" s="90"/>
      <c r="G151" s="90"/>
      <c r="H151" s="90"/>
      <c r="I151" s="90"/>
    </row>
    <row r="152" spans="1:9" x14ac:dyDescent="0.2">
      <c r="A152" s="87" t="s">
        <v>396</v>
      </c>
      <c r="B152" s="88">
        <v>12107</v>
      </c>
      <c r="C152" s="90"/>
      <c r="D152" s="90"/>
      <c r="E152" s="90"/>
      <c r="F152" s="90"/>
      <c r="G152" s="90"/>
      <c r="H152" s="90"/>
      <c r="I152" s="90"/>
    </row>
    <row r="153" spans="1:9" x14ac:dyDescent="0.2">
      <c r="A153" s="87" t="s">
        <v>397</v>
      </c>
      <c r="B153" s="88">
        <v>12108</v>
      </c>
      <c r="C153" s="90"/>
      <c r="D153" s="90"/>
      <c r="E153" s="90"/>
      <c r="F153" s="90"/>
      <c r="G153" s="90"/>
      <c r="H153" s="90"/>
      <c r="I153" s="90"/>
    </row>
    <row r="154" spans="1:9" x14ac:dyDescent="0.2">
      <c r="A154" s="87" t="s">
        <v>398</v>
      </c>
      <c r="B154" s="88">
        <v>12110</v>
      </c>
      <c r="C154" s="90"/>
      <c r="D154" s="90"/>
      <c r="E154" s="90"/>
      <c r="F154" s="90"/>
      <c r="G154" s="90"/>
      <c r="H154" s="90"/>
      <c r="I154" s="90"/>
    </row>
    <row r="155" spans="1:9" x14ac:dyDescent="0.2">
      <c r="A155" s="87" t="s">
        <v>399</v>
      </c>
      <c r="B155" s="88">
        <v>12111</v>
      </c>
      <c r="C155" s="90"/>
      <c r="D155" s="90"/>
      <c r="E155" s="90"/>
      <c r="F155" s="90"/>
      <c r="G155" s="90"/>
      <c r="H155" s="90"/>
      <c r="I155" s="90"/>
    </row>
    <row r="156" spans="1:9" x14ac:dyDescent="0.2">
      <c r="A156" s="87" t="s">
        <v>400</v>
      </c>
      <c r="B156" s="88">
        <v>12114</v>
      </c>
      <c r="C156" s="90"/>
      <c r="D156" s="90"/>
      <c r="E156" s="90"/>
      <c r="F156" s="90"/>
      <c r="G156" s="90"/>
      <c r="H156" s="90"/>
      <c r="I156" s="90"/>
    </row>
    <row r="157" spans="1:9" x14ac:dyDescent="0.2">
      <c r="A157" s="87" t="s">
        <v>401</v>
      </c>
      <c r="B157" s="88">
        <v>12124</v>
      </c>
      <c r="C157" s="90"/>
      <c r="D157" s="90"/>
      <c r="E157" s="90"/>
      <c r="F157" s="90"/>
      <c r="G157" s="90"/>
      <c r="H157" s="90"/>
      <c r="I157" s="90"/>
    </row>
    <row r="158" spans="1:9" x14ac:dyDescent="0.2">
      <c r="A158" s="99" t="s">
        <v>402</v>
      </c>
      <c r="B158" s="100">
        <v>12129</v>
      </c>
      <c r="C158" s="100">
        <v>26.1</v>
      </c>
      <c r="D158" s="100">
        <v>0.6</v>
      </c>
      <c r="E158" s="100">
        <v>41.3</v>
      </c>
      <c r="F158" s="100">
        <v>0.8</v>
      </c>
      <c r="G158" s="100">
        <v>58.2</v>
      </c>
      <c r="H158" s="102"/>
      <c r="I158" s="102"/>
    </row>
    <row r="159" spans="1:9" x14ac:dyDescent="0.2">
      <c r="A159" s="87" t="s">
        <v>403</v>
      </c>
      <c r="B159" s="88">
        <v>12131</v>
      </c>
      <c r="C159" s="90"/>
      <c r="D159" s="90"/>
      <c r="E159" s="90"/>
      <c r="F159" s="90"/>
      <c r="G159" s="90"/>
      <c r="H159" s="90"/>
      <c r="I159" s="90"/>
    </row>
    <row r="160" spans="1:9" x14ac:dyDescent="0.2">
      <c r="A160" s="87" t="s">
        <v>404</v>
      </c>
      <c r="B160" s="88">
        <v>12132</v>
      </c>
      <c r="C160" s="90"/>
      <c r="D160" s="90"/>
      <c r="E160" s="90"/>
      <c r="F160" s="90"/>
      <c r="G160" s="90"/>
      <c r="H160" s="90"/>
      <c r="I160" s="90"/>
    </row>
    <row r="161" spans="1:9" x14ac:dyDescent="0.2">
      <c r="A161" s="87" t="s">
        <v>405</v>
      </c>
      <c r="B161" s="88">
        <v>12133</v>
      </c>
      <c r="C161" s="90"/>
      <c r="D161" s="90"/>
      <c r="E161" s="90"/>
      <c r="F161" s="90"/>
      <c r="G161" s="90"/>
      <c r="H161" s="90"/>
      <c r="I161" s="90"/>
    </row>
    <row r="162" spans="1:9" x14ac:dyDescent="0.2">
      <c r="A162" s="87" t="s">
        <v>406</v>
      </c>
      <c r="B162" s="88">
        <v>12140</v>
      </c>
      <c r="C162" s="90"/>
      <c r="D162" s="90"/>
      <c r="E162" s="90"/>
      <c r="F162" s="90"/>
      <c r="G162" s="90"/>
      <c r="H162" s="90"/>
      <c r="I162" s="90"/>
    </row>
    <row r="163" spans="1:9" x14ac:dyDescent="0.2">
      <c r="A163" s="87" t="s">
        <v>407</v>
      </c>
      <c r="B163" s="88">
        <v>12154</v>
      </c>
      <c r="C163" s="90"/>
      <c r="D163" s="90"/>
      <c r="E163" s="90"/>
      <c r="F163" s="90"/>
      <c r="G163" s="90"/>
      <c r="H163" s="90"/>
      <c r="I163" s="90"/>
    </row>
    <row r="164" spans="1:9" x14ac:dyDescent="0.2">
      <c r="A164" s="99" t="s">
        <v>408</v>
      </c>
      <c r="B164" s="100">
        <v>12159</v>
      </c>
      <c r="C164" s="102"/>
      <c r="D164" s="102"/>
      <c r="E164" s="102"/>
      <c r="F164" s="102"/>
      <c r="G164" s="102"/>
      <c r="H164" s="102"/>
      <c r="I164" s="102"/>
    </row>
    <row r="165" spans="1:9" x14ac:dyDescent="0.2">
      <c r="A165" s="95" t="s">
        <v>307</v>
      </c>
      <c r="B165" s="96">
        <v>12169</v>
      </c>
      <c r="C165" s="96">
        <v>95.9</v>
      </c>
      <c r="D165" s="96">
        <v>2</v>
      </c>
      <c r="E165" s="96">
        <v>100</v>
      </c>
      <c r="F165" s="96">
        <v>2</v>
      </c>
      <c r="G165" s="96">
        <v>4.3</v>
      </c>
      <c r="H165" s="96">
        <v>17.2</v>
      </c>
      <c r="I165" s="96">
        <v>-88</v>
      </c>
    </row>
    <row r="166" spans="1:9" x14ac:dyDescent="0.2">
      <c r="A166" s="87" t="s">
        <v>409</v>
      </c>
      <c r="B166" s="88">
        <v>12171</v>
      </c>
      <c r="C166" s="90"/>
      <c r="D166" s="90"/>
      <c r="E166" s="90"/>
      <c r="F166" s="90"/>
      <c r="G166" s="90"/>
      <c r="H166" s="90"/>
      <c r="I166" s="90"/>
    </row>
    <row r="167" spans="1:9" x14ac:dyDescent="0.2">
      <c r="A167" s="87" t="s">
        <v>410</v>
      </c>
      <c r="B167" s="88">
        <v>12173</v>
      </c>
      <c r="C167" s="90"/>
      <c r="D167" s="90"/>
      <c r="E167" s="90"/>
      <c r="F167" s="90"/>
      <c r="G167" s="90"/>
      <c r="H167" s="90"/>
      <c r="I167" s="90"/>
    </row>
    <row r="168" spans="1:9" x14ac:dyDescent="0.2">
      <c r="A168" s="87" t="s">
        <v>411</v>
      </c>
      <c r="B168" s="88">
        <v>12174</v>
      </c>
      <c r="C168" s="90"/>
      <c r="D168" s="90"/>
      <c r="E168" s="90"/>
      <c r="F168" s="90"/>
      <c r="G168" s="90"/>
      <c r="H168" s="90"/>
      <c r="I168" s="90"/>
    </row>
    <row r="169" spans="1:9" x14ac:dyDescent="0.2">
      <c r="A169" s="95" t="s">
        <v>412</v>
      </c>
      <c r="B169" s="96">
        <v>12189</v>
      </c>
      <c r="C169" s="97"/>
      <c r="D169" s="97"/>
      <c r="E169" s="97"/>
      <c r="F169" s="97"/>
      <c r="G169" s="97"/>
      <c r="H169" s="97"/>
      <c r="I169" s="97"/>
    </row>
    <row r="170" spans="1:9" x14ac:dyDescent="0.2">
      <c r="A170" s="87" t="s">
        <v>413</v>
      </c>
      <c r="B170" s="88">
        <v>12212</v>
      </c>
      <c r="C170" s="90"/>
      <c r="D170" s="90"/>
      <c r="E170" s="90"/>
      <c r="F170" s="90"/>
      <c r="G170" s="90"/>
      <c r="H170" s="90"/>
      <c r="I170" s="90"/>
    </row>
    <row r="171" spans="1:9" x14ac:dyDescent="0.2">
      <c r="A171" s="87" t="s">
        <v>308</v>
      </c>
      <c r="B171" s="88">
        <v>12214</v>
      </c>
      <c r="C171" s="89">
        <v>3414.5</v>
      </c>
      <c r="D171" s="88">
        <v>71.7</v>
      </c>
      <c r="E171" s="89">
        <v>3382.5</v>
      </c>
      <c r="F171" s="88">
        <v>69.5</v>
      </c>
      <c r="G171" s="88">
        <v>-0.9</v>
      </c>
      <c r="H171" s="88">
        <v>10.3</v>
      </c>
      <c r="I171" s="88">
        <v>571.9</v>
      </c>
    </row>
    <row r="172" spans="1:9" x14ac:dyDescent="0.2">
      <c r="A172" s="87" t="s">
        <v>414</v>
      </c>
      <c r="B172" s="88">
        <v>12215</v>
      </c>
      <c r="C172" s="90"/>
      <c r="D172" s="90"/>
      <c r="E172" s="90"/>
      <c r="F172" s="90"/>
      <c r="G172" s="90"/>
      <c r="H172" s="90"/>
      <c r="I172" s="90"/>
    </row>
    <row r="173" spans="1:9" x14ac:dyDescent="0.2">
      <c r="A173" s="87" t="s">
        <v>415</v>
      </c>
      <c r="B173" s="88">
        <v>12217</v>
      </c>
      <c r="C173" s="90"/>
      <c r="D173" s="90"/>
      <c r="E173" s="88">
        <v>823.7</v>
      </c>
      <c r="F173" s="88">
        <v>16.899999999999999</v>
      </c>
      <c r="G173" s="90"/>
      <c r="H173" s="90"/>
      <c r="I173" s="90"/>
    </row>
    <row r="174" spans="1:9" x14ac:dyDescent="0.2">
      <c r="A174" s="87" t="s">
        <v>416</v>
      </c>
      <c r="B174" s="88">
        <v>12220</v>
      </c>
      <c r="C174" s="90"/>
      <c r="D174" s="90"/>
      <c r="E174" s="90"/>
      <c r="F174" s="90"/>
      <c r="G174" s="90"/>
      <c r="H174" s="90"/>
      <c r="I174" s="90"/>
    </row>
    <row r="175" spans="1:9" x14ac:dyDescent="0.2">
      <c r="A175" s="87" t="s">
        <v>417</v>
      </c>
      <c r="B175" s="88">
        <v>12222</v>
      </c>
      <c r="C175" s="90"/>
      <c r="D175" s="90"/>
      <c r="E175" s="90"/>
      <c r="F175" s="90"/>
      <c r="G175" s="90"/>
      <c r="H175" s="90"/>
      <c r="I175" s="90"/>
    </row>
    <row r="176" spans="1:9" x14ac:dyDescent="0.2">
      <c r="A176" s="87" t="s">
        <v>418</v>
      </c>
      <c r="B176" s="88">
        <v>12224</v>
      </c>
      <c r="C176" s="90"/>
      <c r="D176" s="90"/>
      <c r="E176" s="90"/>
      <c r="F176" s="90"/>
      <c r="G176" s="90"/>
      <c r="H176" s="90"/>
      <c r="I176" s="90"/>
    </row>
    <row r="177" spans="1:9" x14ac:dyDescent="0.2">
      <c r="A177" s="87" t="s">
        <v>419</v>
      </c>
      <c r="B177" s="88">
        <v>12225</v>
      </c>
      <c r="C177" s="90"/>
      <c r="D177" s="90"/>
      <c r="E177" s="90"/>
      <c r="F177" s="90"/>
      <c r="G177" s="90"/>
      <c r="H177" s="90"/>
      <c r="I177" s="90"/>
    </row>
    <row r="178" spans="1:9" x14ac:dyDescent="0.2">
      <c r="A178" s="95" t="s">
        <v>420</v>
      </c>
      <c r="B178" s="96">
        <v>12249</v>
      </c>
      <c r="C178" s="98">
        <v>3414.5</v>
      </c>
      <c r="D178" s="96">
        <v>71.7</v>
      </c>
      <c r="E178" s="98">
        <v>4206.2</v>
      </c>
      <c r="F178" s="96">
        <v>86.4</v>
      </c>
      <c r="G178" s="96">
        <v>23.2</v>
      </c>
      <c r="H178" s="97"/>
      <c r="I178" s="97"/>
    </row>
    <row r="179" spans="1:9" x14ac:dyDescent="0.2">
      <c r="A179" s="87" t="s">
        <v>421</v>
      </c>
      <c r="B179" s="88">
        <v>12251</v>
      </c>
      <c r="C179" s="90"/>
      <c r="D179" s="90"/>
      <c r="E179" s="90"/>
      <c r="F179" s="90"/>
      <c r="G179" s="90"/>
      <c r="H179" s="90"/>
      <c r="I179" s="90"/>
    </row>
    <row r="180" spans="1:9" x14ac:dyDescent="0.2">
      <c r="A180" s="87" t="s">
        <v>422</v>
      </c>
      <c r="B180" s="88">
        <v>12252</v>
      </c>
      <c r="C180" s="90"/>
      <c r="D180" s="90"/>
      <c r="E180" s="90"/>
      <c r="F180" s="90"/>
      <c r="G180" s="90"/>
      <c r="H180" s="90"/>
      <c r="I180" s="90"/>
    </row>
    <row r="181" spans="1:9" x14ac:dyDescent="0.2">
      <c r="A181" s="87" t="s">
        <v>423</v>
      </c>
      <c r="B181" s="88">
        <v>12254</v>
      </c>
      <c r="C181" s="90"/>
      <c r="D181" s="90"/>
      <c r="E181" s="90"/>
      <c r="F181" s="90"/>
      <c r="G181" s="90"/>
      <c r="H181" s="90"/>
      <c r="I181" s="90"/>
    </row>
    <row r="182" spans="1:9" x14ac:dyDescent="0.2">
      <c r="A182" s="87" t="s">
        <v>424</v>
      </c>
      <c r="B182" s="88">
        <v>12256</v>
      </c>
      <c r="C182" s="90"/>
      <c r="D182" s="90"/>
      <c r="E182" s="90"/>
      <c r="F182" s="90"/>
      <c r="G182" s="90"/>
      <c r="H182" s="90"/>
      <c r="I182" s="90"/>
    </row>
    <row r="183" spans="1:9" x14ac:dyDescent="0.2">
      <c r="A183" s="87" t="s">
        <v>425</v>
      </c>
      <c r="B183" s="88">
        <v>12257</v>
      </c>
      <c r="C183" s="90"/>
      <c r="D183" s="90"/>
      <c r="E183" s="90"/>
      <c r="F183" s="90"/>
      <c r="G183" s="90"/>
      <c r="H183" s="90"/>
      <c r="I183" s="90"/>
    </row>
    <row r="184" spans="1:9" x14ac:dyDescent="0.2">
      <c r="A184" s="87" t="s">
        <v>426</v>
      </c>
      <c r="B184" s="88">
        <v>12262</v>
      </c>
      <c r="C184" s="90"/>
      <c r="D184" s="90"/>
      <c r="E184" s="90"/>
      <c r="F184" s="90"/>
      <c r="G184" s="90"/>
      <c r="H184" s="90"/>
      <c r="I184" s="90"/>
    </row>
    <row r="185" spans="1:9" x14ac:dyDescent="0.2">
      <c r="A185" s="87" t="s">
        <v>427</v>
      </c>
      <c r="B185" s="88">
        <v>12265</v>
      </c>
      <c r="C185" s="88">
        <v>327.39999999999998</v>
      </c>
      <c r="D185" s="88">
        <v>6.9</v>
      </c>
      <c r="E185" s="90"/>
      <c r="F185" s="90"/>
      <c r="G185" s="88">
        <v>-100</v>
      </c>
      <c r="H185" s="90"/>
      <c r="I185" s="90"/>
    </row>
    <row r="186" spans="1:9" x14ac:dyDescent="0.2">
      <c r="A186" s="95" t="s">
        <v>428</v>
      </c>
      <c r="B186" s="96">
        <v>12289</v>
      </c>
      <c r="C186" s="96">
        <v>327.39999999999998</v>
      </c>
      <c r="D186" s="96">
        <v>6.9</v>
      </c>
      <c r="E186" s="97"/>
      <c r="F186" s="97"/>
      <c r="G186" s="96">
        <v>-100</v>
      </c>
      <c r="H186" s="97"/>
      <c r="I186" s="97"/>
    </row>
    <row r="187" spans="1:9" x14ac:dyDescent="0.2">
      <c r="A187" s="95" t="s">
        <v>309</v>
      </c>
      <c r="B187" s="96">
        <v>12299</v>
      </c>
      <c r="C187" s="98">
        <v>3741.9</v>
      </c>
      <c r="D187" s="96">
        <v>78.599999999999994</v>
      </c>
      <c r="E187" s="98">
        <v>4206.2</v>
      </c>
      <c r="F187" s="96">
        <v>86.4</v>
      </c>
      <c r="G187" s="96">
        <v>12.4</v>
      </c>
      <c r="H187" s="96">
        <v>14.4</v>
      </c>
      <c r="I187" s="96">
        <v>500.8</v>
      </c>
    </row>
    <row r="188" spans="1:9" x14ac:dyDescent="0.2">
      <c r="A188" s="95" t="s">
        <v>429</v>
      </c>
      <c r="B188" s="96">
        <v>12309</v>
      </c>
      <c r="C188" s="98">
        <v>3837.8</v>
      </c>
      <c r="D188" s="96">
        <v>80.599999999999994</v>
      </c>
      <c r="E188" s="98">
        <v>4306.2</v>
      </c>
      <c r="F188" s="96">
        <v>88.4</v>
      </c>
      <c r="G188" s="96">
        <v>12.2</v>
      </c>
      <c r="H188" s="96">
        <v>43.2</v>
      </c>
      <c r="I188" s="96">
        <v>104.7</v>
      </c>
    </row>
    <row r="189" spans="1:9" x14ac:dyDescent="0.2">
      <c r="A189" s="87" t="s">
        <v>430</v>
      </c>
      <c r="B189" s="88">
        <v>12311</v>
      </c>
      <c r="C189" s="90"/>
      <c r="D189" s="90"/>
      <c r="E189" s="90"/>
      <c r="F189" s="90"/>
      <c r="G189" s="90"/>
      <c r="H189" s="90"/>
      <c r="I189" s="90"/>
    </row>
    <row r="190" spans="1:9" x14ac:dyDescent="0.2">
      <c r="A190" s="87" t="s">
        <v>431</v>
      </c>
      <c r="B190" s="88">
        <v>12312</v>
      </c>
      <c r="C190" s="90"/>
      <c r="D190" s="90"/>
      <c r="E190" s="90"/>
      <c r="F190" s="90"/>
      <c r="G190" s="90"/>
      <c r="H190" s="90"/>
      <c r="I190" s="90"/>
    </row>
    <row r="191" spans="1:9" x14ac:dyDescent="0.2">
      <c r="A191" s="95" t="s">
        <v>432</v>
      </c>
      <c r="B191" s="96">
        <v>12329</v>
      </c>
      <c r="C191" s="96">
        <v>147.1</v>
      </c>
      <c r="D191" s="96">
        <v>3.1</v>
      </c>
      <c r="E191" s="96">
        <v>175.8</v>
      </c>
      <c r="F191" s="96">
        <v>3.6</v>
      </c>
      <c r="G191" s="96">
        <v>19.5</v>
      </c>
      <c r="H191" s="97"/>
      <c r="I191" s="97"/>
    </row>
    <row r="192" spans="1:9" x14ac:dyDescent="0.2">
      <c r="A192" s="87" t="s">
        <v>433</v>
      </c>
      <c r="B192" s="88">
        <v>12331</v>
      </c>
      <c r="C192" s="88">
        <v>2.5</v>
      </c>
      <c r="D192" s="88">
        <v>0.1</v>
      </c>
      <c r="E192" s="88">
        <v>6.9</v>
      </c>
      <c r="F192" s="88">
        <v>0.1</v>
      </c>
      <c r="G192" s="88">
        <v>176</v>
      </c>
      <c r="H192" s="90"/>
      <c r="I192" s="90"/>
    </row>
    <row r="193" spans="1:9" x14ac:dyDescent="0.2">
      <c r="A193" s="87" t="s">
        <v>434</v>
      </c>
      <c r="B193" s="88">
        <v>12332</v>
      </c>
      <c r="C193" s="88">
        <v>100.4</v>
      </c>
      <c r="D193" s="88">
        <v>2.1</v>
      </c>
      <c r="E193" s="88">
        <v>8.6999999999999993</v>
      </c>
      <c r="F193" s="88">
        <v>0.2</v>
      </c>
      <c r="G193" s="88">
        <v>-91.3</v>
      </c>
      <c r="H193" s="90"/>
      <c r="I193" s="90"/>
    </row>
    <row r="194" spans="1:9" x14ac:dyDescent="0.2">
      <c r="A194" s="99" t="s">
        <v>435</v>
      </c>
      <c r="B194" s="100">
        <v>12339</v>
      </c>
      <c r="C194" s="100">
        <v>102.9</v>
      </c>
      <c r="D194" s="100">
        <v>2.2000000000000002</v>
      </c>
      <c r="E194" s="100">
        <v>15.6</v>
      </c>
      <c r="F194" s="100">
        <v>0.3</v>
      </c>
      <c r="G194" s="100">
        <v>-84.8</v>
      </c>
      <c r="H194" s="102"/>
      <c r="I194" s="102"/>
    </row>
    <row r="195" spans="1:9" x14ac:dyDescent="0.2">
      <c r="A195" s="87" t="s">
        <v>436</v>
      </c>
      <c r="B195" s="88">
        <v>12341</v>
      </c>
      <c r="C195" s="90"/>
      <c r="D195" s="90"/>
      <c r="E195" s="90"/>
      <c r="F195" s="90"/>
      <c r="G195" s="90"/>
      <c r="H195" s="90"/>
      <c r="I195" s="90"/>
    </row>
    <row r="196" spans="1:9" x14ac:dyDescent="0.2">
      <c r="A196" s="87" t="s">
        <v>310</v>
      </c>
      <c r="B196" s="88">
        <v>12342</v>
      </c>
      <c r="C196" s="88">
        <v>259.89999999999998</v>
      </c>
      <c r="D196" s="88">
        <v>5.5</v>
      </c>
      <c r="E196" s="88">
        <v>69.900000000000006</v>
      </c>
      <c r="F196" s="88">
        <v>1.4</v>
      </c>
      <c r="G196" s="88">
        <v>-73.099999999999994</v>
      </c>
      <c r="H196" s="88">
        <v>0.3</v>
      </c>
      <c r="I196" s="88">
        <v>431.7</v>
      </c>
    </row>
    <row r="197" spans="1:9" x14ac:dyDescent="0.2">
      <c r="A197" s="87" t="s">
        <v>414</v>
      </c>
      <c r="B197" s="88">
        <v>12343</v>
      </c>
      <c r="C197" s="90"/>
      <c r="D197" s="90"/>
      <c r="E197" s="90"/>
      <c r="F197" s="90"/>
      <c r="G197" s="90"/>
      <c r="H197" s="90"/>
      <c r="I197" s="90"/>
    </row>
    <row r="198" spans="1:9" x14ac:dyDescent="0.2">
      <c r="A198" s="87" t="s">
        <v>437</v>
      </c>
      <c r="B198" s="88">
        <v>12344</v>
      </c>
      <c r="C198" s="90"/>
      <c r="D198" s="90"/>
      <c r="E198" s="90"/>
      <c r="F198" s="90"/>
      <c r="G198" s="90"/>
      <c r="H198" s="90"/>
      <c r="I198" s="90"/>
    </row>
    <row r="199" spans="1:9" x14ac:dyDescent="0.2">
      <c r="A199" s="87" t="s">
        <v>438</v>
      </c>
      <c r="B199" s="88">
        <v>12345</v>
      </c>
      <c r="C199" s="90"/>
      <c r="D199" s="90"/>
      <c r="E199" s="90"/>
      <c r="F199" s="90"/>
      <c r="G199" s="90"/>
      <c r="H199" s="90"/>
      <c r="I199" s="90"/>
    </row>
    <row r="200" spans="1:9" x14ac:dyDescent="0.2">
      <c r="A200" s="87" t="s">
        <v>439</v>
      </c>
      <c r="B200" s="88">
        <v>12346</v>
      </c>
      <c r="C200" s="90"/>
      <c r="D200" s="90"/>
      <c r="E200" s="90"/>
      <c r="F200" s="90"/>
      <c r="G200" s="90"/>
      <c r="H200" s="90"/>
      <c r="I200" s="90"/>
    </row>
    <row r="201" spans="1:9" x14ac:dyDescent="0.2">
      <c r="A201" s="87" t="s">
        <v>440</v>
      </c>
      <c r="B201" s="88">
        <v>12347</v>
      </c>
      <c r="C201" s="90"/>
      <c r="D201" s="90"/>
      <c r="E201" s="90"/>
      <c r="F201" s="90"/>
      <c r="G201" s="90"/>
      <c r="H201" s="90"/>
      <c r="I201" s="90"/>
    </row>
    <row r="202" spans="1:9" x14ac:dyDescent="0.2">
      <c r="A202" s="87" t="s">
        <v>441</v>
      </c>
      <c r="B202" s="88">
        <v>12348</v>
      </c>
      <c r="C202" s="90"/>
      <c r="D202" s="90"/>
      <c r="E202" s="90"/>
      <c r="F202" s="90"/>
      <c r="G202" s="90"/>
      <c r="H202" s="90"/>
      <c r="I202" s="90"/>
    </row>
    <row r="203" spans="1:9" x14ac:dyDescent="0.2">
      <c r="A203" s="87" t="s">
        <v>442</v>
      </c>
      <c r="B203" s="88">
        <v>12350</v>
      </c>
      <c r="C203" s="90"/>
      <c r="D203" s="90"/>
      <c r="E203" s="90"/>
      <c r="F203" s="90"/>
      <c r="G203" s="90"/>
      <c r="H203" s="90"/>
      <c r="I203" s="90"/>
    </row>
    <row r="204" spans="1:9" x14ac:dyDescent="0.2">
      <c r="A204" s="95" t="s">
        <v>443</v>
      </c>
      <c r="B204" s="96">
        <v>12369</v>
      </c>
      <c r="C204" s="96">
        <v>259.89999999999998</v>
      </c>
      <c r="D204" s="96">
        <v>5.5</v>
      </c>
      <c r="E204" s="96">
        <v>69.900000000000006</v>
      </c>
      <c r="F204" s="96">
        <v>1.4</v>
      </c>
      <c r="G204" s="96">
        <v>-73.099999999999994</v>
      </c>
      <c r="H204" s="97"/>
      <c r="I204" s="97"/>
    </row>
    <row r="205" spans="1:9" x14ac:dyDescent="0.2">
      <c r="A205" s="87" t="s">
        <v>311</v>
      </c>
      <c r="B205" s="88">
        <v>12371</v>
      </c>
      <c r="C205" s="88">
        <v>287.60000000000002</v>
      </c>
      <c r="D205" s="88">
        <v>6</v>
      </c>
      <c r="E205" s="88">
        <v>214.4</v>
      </c>
      <c r="F205" s="88">
        <v>4.4000000000000004</v>
      </c>
      <c r="G205" s="88">
        <v>-25.4</v>
      </c>
      <c r="H205" s="88">
        <v>5.8</v>
      </c>
      <c r="I205" s="88">
        <v>-24.7</v>
      </c>
    </row>
    <row r="206" spans="1:9" x14ac:dyDescent="0.2">
      <c r="A206" s="87" t="s">
        <v>444</v>
      </c>
      <c r="B206" s="88">
        <v>12373</v>
      </c>
      <c r="C206" s="90"/>
      <c r="D206" s="90"/>
      <c r="E206" s="90"/>
      <c r="F206" s="90"/>
      <c r="G206" s="90"/>
      <c r="H206" s="90"/>
      <c r="I206" s="90"/>
    </row>
    <row r="207" spans="1:9" x14ac:dyDescent="0.2">
      <c r="A207" s="87" t="s">
        <v>445</v>
      </c>
      <c r="B207" s="88">
        <v>12374</v>
      </c>
      <c r="C207" s="88">
        <v>23.4</v>
      </c>
      <c r="D207" s="88">
        <v>0.5</v>
      </c>
      <c r="E207" s="88">
        <v>20.8</v>
      </c>
      <c r="F207" s="88">
        <v>0.4</v>
      </c>
      <c r="G207" s="88">
        <v>-11.1</v>
      </c>
      <c r="H207" s="90"/>
      <c r="I207" s="90"/>
    </row>
    <row r="208" spans="1:9" x14ac:dyDescent="0.2">
      <c r="A208" s="87" t="s">
        <v>446</v>
      </c>
      <c r="B208" s="88">
        <v>12375</v>
      </c>
      <c r="C208" s="90"/>
      <c r="D208" s="90"/>
      <c r="E208" s="90"/>
      <c r="F208" s="90"/>
      <c r="G208" s="90"/>
      <c r="H208" s="90"/>
      <c r="I208" s="90"/>
    </row>
    <row r="209" spans="1:9" x14ac:dyDescent="0.2">
      <c r="A209" s="87" t="s">
        <v>447</v>
      </c>
      <c r="B209" s="88">
        <v>12376</v>
      </c>
      <c r="C209" s="88">
        <v>9.3000000000000007</v>
      </c>
      <c r="D209" s="88">
        <v>0.2</v>
      </c>
      <c r="E209" s="90"/>
      <c r="F209" s="90"/>
      <c r="G209" s="88">
        <v>-100</v>
      </c>
      <c r="H209" s="88">
        <v>13.3</v>
      </c>
      <c r="I209" s="88">
        <v>-100</v>
      </c>
    </row>
    <row r="210" spans="1:9" x14ac:dyDescent="0.2">
      <c r="A210" s="87" t="s">
        <v>448</v>
      </c>
      <c r="B210" s="88">
        <v>12378</v>
      </c>
      <c r="C210" s="90"/>
      <c r="D210" s="90"/>
      <c r="E210" s="90"/>
      <c r="F210" s="90"/>
      <c r="G210" s="90"/>
      <c r="H210" s="90"/>
      <c r="I210" s="90"/>
    </row>
    <row r="211" spans="1:9" x14ac:dyDescent="0.2">
      <c r="A211" s="87" t="s">
        <v>449</v>
      </c>
      <c r="B211" s="88">
        <v>12380</v>
      </c>
      <c r="C211" s="88">
        <v>93.8</v>
      </c>
      <c r="D211" s="88">
        <v>2</v>
      </c>
      <c r="E211" s="88">
        <v>66.2</v>
      </c>
      <c r="F211" s="88">
        <v>1.4</v>
      </c>
      <c r="G211" s="88">
        <v>-29.4</v>
      </c>
      <c r="H211" s="90"/>
      <c r="I211" s="90"/>
    </row>
    <row r="212" spans="1:9" x14ac:dyDescent="0.2">
      <c r="A212" s="87" t="s">
        <v>442</v>
      </c>
      <c r="B212" s="88">
        <v>12381</v>
      </c>
      <c r="C212" s="90"/>
      <c r="D212" s="90"/>
      <c r="E212" s="90"/>
      <c r="F212" s="90"/>
      <c r="G212" s="90"/>
      <c r="H212" s="90"/>
      <c r="I212" s="90"/>
    </row>
    <row r="213" spans="1:9" x14ac:dyDescent="0.2">
      <c r="A213" s="87" t="s">
        <v>450</v>
      </c>
      <c r="B213" s="88">
        <v>12387</v>
      </c>
      <c r="C213" s="90"/>
      <c r="D213" s="90"/>
      <c r="E213" s="90"/>
      <c r="F213" s="90"/>
      <c r="G213" s="90"/>
      <c r="H213" s="90"/>
      <c r="I213" s="90"/>
    </row>
    <row r="214" spans="1:9" x14ac:dyDescent="0.2">
      <c r="A214" s="95" t="s">
        <v>451</v>
      </c>
      <c r="B214" s="96">
        <v>12399</v>
      </c>
      <c r="C214" s="96">
        <v>414.1</v>
      </c>
      <c r="D214" s="96">
        <v>8.6999999999999993</v>
      </c>
      <c r="E214" s="96">
        <v>301.39999999999998</v>
      </c>
      <c r="F214" s="96">
        <v>6.2</v>
      </c>
      <c r="G214" s="96">
        <v>-27.2</v>
      </c>
      <c r="H214" s="97"/>
      <c r="I214" s="97"/>
    </row>
    <row r="215" spans="1:9" x14ac:dyDescent="0.2">
      <c r="A215" s="95" t="s">
        <v>51</v>
      </c>
      <c r="B215" s="96">
        <v>12409</v>
      </c>
      <c r="C215" s="96">
        <v>924</v>
      </c>
      <c r="D215" s="96">
        <v>19.399999999999999</v>
      </c>
      <c r="E215" s="96">
        <v>562.70000000000005</v>
      </c>
      <c r="F215" s="96">
        <v>11.6</v>
      </c>
      <c r="G215" s="96">
        <v>-39.1</v>
      </c>
      <c r="H215" s="96">
        <v>56.8</v>
      </c>
      <c r="I215" s="96">
        <v>-79.7</v>
      </c>
    </row>
    <row r="216" spans="1:9" x14ac:dyDescent="0.2">
      <c r="A216" s="87" t="s">
        <v>452</v>
      </c>
      <c r="B216" s="88">
        <v>12431</v>
      </c>
      <c r="C216" s="90"/>
      <c r="D216" s="90"/>
      <c r="E216" s="90"/>
      <c r="F216" s="90"/>
      <c r="G216" s="90"/>
      <c r="H216" s="90"/>
      <c r="I216" s="90"/>
    </row>
    <row r="217" spans="1:9" x14ac:dyDescent="0.2">
      <c r="A217" s="99" t="s">
        <v>453</v>
      </c>
      <c r="B217" s="100">
        <v>12449</v>
      </c>
      <c r="C217" s="102"/>
      <c r="D217" s="102"/>
      <c r="E217" s="102"/>
      <c r="F217" s="102"/>
      <c r="G217" s="102"/>
      <c r="H217" s="102"/>
      <c r="I217" s="102"/>
    </row>
    <row r="218" spans="1:9" x14ac:dyDescent="0.2">
      <c r="A218" s="87" t="s">
        <v>454</v>
      </c>
      <c r="B218" s="88">
        <v>12451</v>
      </c>
      <c r="C218" s="90"/>
      <c r="D218" s="90"/>
      <c r="E218" s="90"/>
      <c r="F218" s="90"/>
      <c r="G218" s="90"/>
      <c r="H218" s="90"/>
      <c r="I218" s="90"/>
    </row>
    <row r="219" spans="1:9" x14ac:dyDescent="0.2">
      <c r="A219" s="99" t="s">
        <v>455</v>
      </c>
      <c r="B219" s="100">
        <v>12459</v>
      </c>
      <c r="C219" s="102"/>
      <c r="D219" s="102"/>
      <c r="E219" s="102"/>
      <c r="F219" s="102"/>
      <c r="G219" s="102"/>
      <c r="H219" s="102"/>
      <c r="I219" s="102"/>
    </row>
    <row r="220" spans="1:9" x14ac:dyDescent="0.2">
      <c r="A220" s="95" t="s">
        <v>456</v>
      </c>
      <c r="B220" s="96">
        <v>12500</v>
      </c>
      <c r="C220" s="98">
        <v>4761.8</v>
      </c>
      <c r="D220" s="96">
        <v>100</v>
      </c>
      <c r="E220" s="98">
        <v>4868.8999999999996</v>
      </c>
      <c r="F220" s="96">
        <v>100</v>
      </c>
      <c r="G220" s="96">
        <v>2.2999999999999998</v>
      </c>
      <c r="H220" s="97"/>
      <c r="I220" s="97"/>
    </row>
    <row r="221" spans="1:9" x14ac:dyDescent="0.2">
      <c r="A221" s="87" t="s">
        <v>457</v>
      </c>
      <c r="B221" s="88">
        <v>12501</v>
      </c>
      <c r="C221" s="90"/>
      <c r="D221" s="90"/>
      <c r="E221" s="90"/>
      <c r="F221" s="90"/>
      <c r="G221" s="90"/>
      <c r="H221" s="90"/>
      <c r="I221" s="90"/>
    </row>
    <row r="222" spans="1:9" x14ac:dyDescent="0.2">
      <c r="A222" s="87" t="s">
        <v>458</v>
      </c>
      <c r="B222" s="88">
        <v>12502</v>
      </c>
      <c r="C222" s="90"/>
      <c r="D222" s="90"/>
      <c r="E222" s="90"/>
      <c r="F222" s="90"/>
      <c r="G222" s="90"/>
      <c r="H222" s="90"/>
      <c r="I222" s="90"/>
    </row>
    <row r="223" spans="1:9" x14ac:dyDescent="0.2">
      <c r="A223" s="87" t="s">
        <v>459</v>
      </c>
      <c r="B223" s="88">
        <v>12503</v>
      </c>
      <c r="C223" s="90"/>
      <c r="D223" s="90"/>
      <c r="E223" s="90"/>
      <c r="F223" s="90"/>
      <c r="G223" s="90"/>
      <c r="H223" s="90"/>
      <c r="I223" s="90"/>
    </row>
    <row r="224" spans="1:9" x14ac:dyDescent="0.2">
      <c r="A224" s="87" t="s">
        <v>460</v>
      </c>
      <c r="B224" s="88">
        <v>12504</v>
      </c>
      <c r="C224" s="90"/>
      <c r="D224" s="90"/>
      <c r="E224" s="90"/>
      <c r="F224" s="90"/>
      <c r="G224" s="90"/>
      <c r="H224" s="90"/>
      <c r="I224" s="90"/>
    </row>
    <row r="225" spans="1:9" x14ac:dyDescent="0.2">
      <c r="A225" s="87" t="s">
        <v>461</v>
      </c>
      <c r="B225" s="88">
        <v>12505</v>
      </c>
      <c r="C225" s="90"/>
      <c r="D225" s="90"/>
      <c r="E225" s="90"/>
      <c r="F225" s="90"/>
      <c r="G225" s="90"/>
      <c r="H225" s="90"/>
      <c r="I225" s="90"/>
    </row>
    <row r="226" spans="1:9" x14ac:dyDescent="0.2">
      <c r="A226" s="87" t="s">
        <v>462</v>
      </c>
      <c r="B226" s="88">
        <v>12506</v>
      </c>
      <c r="C226" s="90"/>
      <c r="D226" s="90"/>
      <c r="E226" s="90"/>
      <c r="F226" s="90"/>
      <c r="G226" s="90"/>
      <c r="H226" s="90"/>
      <c r="I226" s="90"/>
    </row>
    <row r="227" spans="1:9" x14ac:dyDescent="0.2">
      <c r="A227" s="87" t="s">
        <v>463</v>
      </c>
      <c r="B227" s="88">
        <v>12507</v>
      </c>
      <c r="C227" s="90"/>
      <c r="D227" s="90"/>
      <c r="E227" s="90"/>
      <c r="F227" s="90"/>
      <c r="G227" s="90"/>
      <c r="H227" s="90"/>
      <c r="I227" s="90"/>
    </row>
    <row r="228" spans="1:9" x14ac:dyDescent="0.2">
      <c r="A228" s="87" t="s">
        <v>464</v>
      </c>
      <c r="B228" s="88">
        <v>12508</v>
      </c>
      <c r="C228" s="90"/>
      <c r="D228" s="90"/>
      <c r="E228" s="90"/>
      <c r="F228" s="90"/>
      <c r="G228" s="90"/>
      <c r="H228" s="90"/>
      <c r="I228" s="90"/>
    </row>
    <row r="229" spans="1:9" ht="16" x14ac:dyDescent="0.2">
      <c r="A229" s="57"/>
    </row>
    <row r="230" spans="1:9" ht="16" x14ac:dyDescent="0.2">
      <c r="A230" s="57"/>
    </row>
    <row r="231" spans="1:9" ht="16" x14ac:dyDescent="0.2">
      <c r="A231" s="57" t="s">
        <v>465</v>
      </c>
    </row>
    <row r="232" spans="1:9" x14ac:dyDescent="0.2">
      <c r="A232" s="72"/>
      <c r="B232" s="73"/>
      <c r="C232" s="74" t="s">
        <v>253</v>
      </c>
      <c r="D232" s="75"/>
      <c r="E232" s="74" t="s">
        <v>253</v>
      </c>
      <c r="F232" s="75"/>
      <c r="G232" s="76" t="s">
        <v>292</v>
      </c>
      <c r="H232" s="77" t="s">
        <v>293</v>
      </c>
      <c r="I232" s="76" t="s">
        <v>322</v>
      </c>
    </row>
    <row r="233" spans="1:9" x14ac:dyDescent="0.2">
      <c r="A233" s="78"/>
      <c r="B233" s="79"/>
      <c r="C233" s="80">
        <v>2023</v>
      </c>
      <c r="D233" s="81"/>
      <c r="E233" s="80">
        <v>2024</v>
      </c>
      <c r="F233" s="81"/>
      <c r="G233" s="82"/>
      <c r="H233" s="83">
        <v>2024</v>
      </c>
      <c r="I233" s="82"/>
    </row>
    <row r="234" spans="1:9" x14ac:dyDescent="0.2">
      <c r="A234" s="84"/>
      <c r="B234" s="85"/>
      <c r="C234" s="86" t="s">
        <v>294</v>
      </c>
      <c r="D234" s="86" t="s">
        <v>295</v>
      </c>
      <c r="E234" s="86" t="s">
        <v>294</v>
      </c>
      <c r="F234" s="86" t="s">
        <v>295</v>
      </c>
      <c r="G234" s="86" t="s">
        <v>295</v>
      </c>
      <c r="H234" s="86" t="s">
        <v>295</v>
      </c>
      <c r="I234" s="86" t="s">
        <v>295</v>
      </c>
    </row>
    <row r="235" spans="1:9" x14ac:dyDescent="0.2">
      <c r="A235" s="87" t="s">
        <v>6</v>
      </c>
      <c r="B235" s="88">
        <v>13001</v>
      </c>
      <c r="C235" s="90"/>
      <c r="D235" s="90"/>
      <c r="E235" s="90"/>
      <c r="F235" s="90"/>
      <c r="G235" s="90"/>
      <c r="H235" s="90"/>
      <c r="I235" s="90"/>
    </row>
    <row r="236" spans="1:9" x14ac:dyDescent="0.2">
      <c r="A236" s="87" t="s">
        <v>466</v>
      </c>
      <c r="B236" s="88">
        <v>13031</v>
      </c>
      <c r="C236" s="90"/>
      <c r="D236" s="90"/>
      <c r="E236" s="90"/>
      <c r="F236" s="90"/>
      <c r="G236" s="90"/>
      <c r="H236" s="90"/>
      <c r="I236" s="90"/>
    </row>
    <row r="237" spans="1:9" x14ac:dyDescent="0.2">
      <c r="A237" s="87" t="s">
        <v>467</v>
      </c>
      <c r="B237" s="88">
        <v>13032</v>
      </c>
      <c r="C237" s="90"/>
      <c r="D237" s="90"/>
      <c r="E237" s="90"/>
      <c r="F237" s="90"/>
      <c r="G237" s="90"/>
      <c r="H237" s="90"/>
      <c r="I237" s="90"/>
    </row>
    <row r="238" spans="1:9" x14ac:dyDescent="0.2">
      <c r="A238" s="99" t="s">
        <v>468</v>
      </c>
      <c r="B238" s="100">
        <v>13049</v>
      </c>
      <c r="C238" s="101">
        <v>3574</v>
      </c>
      <c r="D238" s="100">
        <v>89.7</v>
      </c>
      <c r="E238" s="101">
        <v>4301.3</v>
      </c>
      <c r="F238" s="100">
        <v>102</v>
      </c>
      <c r="G238" s="100">
        <v>20.399999999999999</v>
      </c>
      <c r="H238" s="100">
        <v>100</v>
      </c>
      <c r="I238" s="100">
        <v>2</v>
      </c>
    </row>
    <row r="239" spans="1:9" x14ac:dyDescent="0.2">
      <c r="A239" s="87" t="s">
        <v>7</v>
      </c>
      <c r="B239" s="88">
        <v>13051</v>
      </c>
      <c r="C239" s="88">
        <v>355.2</v>
      </c>
      <c r="D239" s="88">
        <v>8.9</v>
      </c>
      <c r="E239" s="88">
        <v>-129.6</v>
      </c>
      <c r="F239" s="88">
        <v>-3.1</v>
      </c>
      <c r="G239" s="88">
        <v>-136.5</v>
      </c>
      <c r="H239" s="90"/>
      <c r="I239" s="90"/>
    </row>
    <row r="240" spans="1:9" x14ac:dyDescent="0.2">
      <c r="A240" s="87" t="s">
        <v>469</v>
      </c>
      <c r="B240" s="88">
        <v>13052</v>
      </c>
      <c r="C240" s="88">
        <v>55.9</v>
      </c>
      <c r="D240" s="88">
        <v>1.4</v>
      </c>
      <c r="E240" s="88">
        <v>43.2</v>
      </c>
      <c r="F240" s="88">
        <v>1</v>
      </c>
      <c r="G240" s="88">
        <v>-22.7</v>
      </c>
      <c r="H240" s="90"/>
      <c r="I240" s="90"/>
    </row>
    <row r="241" spans="1:9" x14ac:dyDescent="0.2">
      <c r="A241" s="87" t="s">
        <v>470</v>
      </c>
      <c r="B241" s="88">
        <v>13053</v>
      </c>
      <c r="C241" s="90"/>
      <c r="D241" s="90"/>
      <c r="E241" s="90"/>
      <c r="F241" s="90"/>
      <c r="G241" s="90"/>
      <c r="H241" s="90"/>
      <c r="I241" s="90"/>
    </row>
    <row r="242" spans="1:9" x14ac:dyDescent="0.2">
      <c r="A242" s="95" t="s">
        <v>312</v>
      </c>
      <c r="B242" s="96">
        <v>13059</v>
      </c>
      <c r="C242" s="98">
        <v>3985.1</v>
      </c>
      <c r="D242" s="96">
        <v>100</v>
      </c>
      <c r="E242" s="98">
        <v>4214.8999999999996</v>
      </c>
      <c r="F242" s="96">
        <v>100</v>
      </c>
      <c r="G242" s="96">
        <v>5.8</v>
      </c>
      <c r="H242" s="97"/>
      <c r="I242" s="97"/>
    </row>
    <row r="243" spans="1:9" x14ac:dyDescent="0.2">
      <c r="A243" s="87" t="s">
        <v>471</v>
      </c>
      <c r="B243" s="88">
        <v>13071</v>
      </c>
      <c r="C243" s="90"/>
      <c r="D243" s="90"/>
      <c r="E243" s="90"/>
      <c r="F243" s="90"/>
      <c r="G243" s="90"/>
      <c r="H243" s="90"/>
      <c r="I243" s="90"/>
    </row>
    <row r="244" spans="1:9" x14ac:dyDescent="0.2">
      <c r="A244" s="87" t="s">
        <v>472</v>
      </c>
      <c r="B244" s="88">
        <v>13072</v>
      </c>
      <c r="C244" s="90"/>
      <c r="D244" s="90"/>
      <c r="E244" s="90"/>
      <c r="F244" s="90"/>
      <c r="G244" s="90"/>
      <c r="H244" s="90"/>
      <c r="I244" s="90"/>
    </row>
    <row r="245" spans="1:9" x14ac:dyDescent="0.2">
      <c r="A245" s="99" t="s">
        <v>8</v>
      </c>
      <c r="B245" s="100">
        <v>13089</v>
      </c>
      <c r="C245" s="101">
        <v>1259.3</v>
      </c>
      <c r="D245" s="100">
        <v>31.6</v>
      </c>
      <c r="E245" s="101">
        <v>1062.9000000000001</v>
      </c>
      <c r="F245" s="100">
        <v>25.2</v>
      </c>
      <c r="G245" s="100">
        <v>-15.6</v>
      </c>
      <c r="H245" s="100">
        <v>36.9</v>
      </c>
      <c r="I245" s="100">
        <v>-31.6</v>
      </c>
    </row>
    <row r="246" spans="1:9" x14ac:dyDescent="0.2">
      <c r="A246" s="99" t="s">
        <v>473</v>
      </c>
      <c r="B246" s="100">
        <v>13099</v>
      </c>
      <c r="C246" s="101">
        <v>2725.8</v>
      </c>
      <c r="D246" s="100">
        <v>68.400000000000006</v>
      </c>
      <c r="E246" s="101">
        <v>3152</v>
      </c>
      <c r="F246" s="100">
        <v>74.8</v>
      </c>
      <c r="G246" s="100">
        <v>15.6</v>
      </c>
      <c r="H246" s="102"/>
      <c r="I246" s="102"/>
    </row>
    <row r="247" spans="1:9" x14ac:dyDescent="0.2">
      <c r="A247" s="87" t="s">
        <v>474</v>
      </c>
      <c r="B247" s="88">
        <v>13101</v>
      </c>
      <c r="C247" s="90"/>
      <c r="D247" s="90"/>
      <c r="E247" s="90"/>
      <c r="F247" s="90"/>
      <c r="G247" s="90"/>
      <c r="H247" s="90"/>
      <c r="I247" s="90"/>
    </row>
    <row r="248" spans="1:9" x14ac:dyDescent="0.2">
      <c r="A248" s="87" t="s">
        <v>475</v>
      </c>
      <c r="B248" s="88">
        <v>13102</v>
      </c>
      <c r="C248" s="90"/>
      <c r="D248" s="90"/>
      <c r="E248" s="90"/>
      <c r="F248" s="90"/>
      <c r="G248" s="90"/>
      <c r="H248" s="90"/>
      <c r="I248" s="90"/>
    </row>
    <row r="249" spans="1:9" x14ac:dyDescent="0.2">
      <c r="A249" s="87" t="s">
        <v>476</v>
      </c>
      <c r="B249" s="88">
        <v>13104</v>
      </c>
      <c r="C249" s="90"/>
      <c r="D249" s="90"/>
      <c r="E249" s="90"/>
      <c r="F249" s="90"/>
      <c r="G249" s="90"/>
      <c r="H249" s="90"/>
      <c r="I249" s="90"/>
    </row>
    <row r="250" spans="1:9" x14ac:dyDescent="0.2">
      <c r="A250" s="87" t="s">
        <v>477</v>
      </c>
      <c r="B250" s="88">
        <v>13105</v>
      </c>
      <c r="C250" s="90"/>
      <c r="D250" s="90"/>
      <c r="E250" s="90"/>
      <c r="F250" s="90"/>
      <c r="G250" s="90"/>
      <c r="H250" s="90"/>
      <c r="I250" s="90"/>
    </row>
    <row r="251" spans="1:9" x14ac:dyDescent="0.2">
      <c r="A251" s="87" t="s">
        <v>478</v>
      </c>
      <c r="B251" s="88">
        <v>13106</v>
      </c>
      <c r="C251" s="90"/>
      <c r="D251" s="90"/>
      <c r="E251" s="90"/>
      <c r="F251" s="90"/>
      <c r="G251" s="90"/>
      <c r="H251" s="90"/>
      <c r="I251" s="90"/>
    </row>
    <row r="252" spans="1:9" x14ac:dyDescent="0.2">
      <c r="A252" s="87" t="s">
        <v>479</v>
      </c>
      <c r="B252" s="88">
        <v>13107</v>
      </c>
      <c r="C252" s="90"/>
      <c r="D252" s="90"/>
      <c r="E252" s="90"/>
      <c r="F252" s="90"/>
      <c r="G252" s="90"/>
      <c r="H252" s="90"/>
      <c r="I252" s="90"/>
    </row>
    <row r="253" spans="1:9" x14ac:dyDescent="0.2">
      <c r="A253" s="87" t="s">
        <v>480</v>
      </c>
      <c r="B253" s="88">
        <v>13108</v>
      </c>
      <c r="C253" s="90"/>
      <c r="D253" s="90"/>
      <c r="E253" s="90"/>
      <c r="F253" s="90"/>
      <c r="G253" s="90"/>
      <c r="H253" s="90"/>
      <c r="I253" s="90"/>
    </row>
    <row r="254" spans="1:9" x14ac:dyDescent="0.2">
      <c r="A254" s="99" t="s">
        <v>481</v>
      </c>
      <c r="B254" s="100">
        <v>13129</v>
      </c>
      <c r="C254" s="102"/>
      <c r="D254" s="102"/>
      <c r="E254" s="102"/>
      <c r="F254" s="102"/>
      <c r="G254" s="102"/>
      <c r="H254" s="102"/>
      <c r="I254" s="102"/>
    </row>
    <row r="255" spans="1:9" x14ac:dyDescent="0.2">
      <c r="A255" s="95" t="s">
        <v>313</v>
      </c>
      <c r="B255" s="96">
        <v>13139</v>
      </c>
      <c r="C255" s="98">
        <v>2725.8</v>
      </c>
      <c r="D255" s="96">
        <v>68.400000000000006</v>
      </c>
      <c r="E255" s="98">
        <v>3152</v>
      </c>
      <c r="F255" s="96">
        <v>74.8</v>
      </c>
      <c r="G255" s="96">
        <v>15.6</v>
      </c>
      <c r="H255" s="96">
        <v>64.400000000000006</v>
      </c>
      <c r="I255" s="96">
        <v>16.100000000000001</v>
      </c>
    </row>
    <row r="256" spans="1:9" x14ac:dyDescent="0.2">
      <c r="A256" s="87" t="s">
        <v>482</v>
      </c>
      <c r="B256" s="88">
        <v>13161</v>
      </c>
      <c r="C256" s="90"/>
      <c r="D256" s="90"/>
      <c r="E256" s="90"/>
      <c r="F256" s="90"/>
      <c r="G256" s="90"/>
      <c r="H256" s="90"/>
      <c r="I256" s="90"/>
    </row>
    <row r="257" spans="1:9" x14ac:dyDescent="0.2">
      <c r="A257" s="87" t="s">
        <v>483</v>
      </c>
      <c r="B257" s="88">
        <v>13162</v>
      </c>
      <c r="C257" s="90"/>
      <c r="D257" s="90"/>
      <c r="E257" s="90"/>
      <c r="F257" s="90"/>
      <c r="G257" s="90"/>
      <c r="H257" s="90"/>
      <c r="I257" s="90"/>
    </row>
    <row r="258" spans="1:9" x14ac:dyDescent="0.2">
      <c r="A258" s="87" t="s">
        <v>484</v>
      </c>
      <c r="B258" s="88">
        <v>13163</v>
      </c>
      <c r="C258" s="90"/>
      <c r="D258" s="90"/>
      <c r="E258" s="90"/>
      <c r="F258" s="90"/>
      <c r="G258" s="90"/>
      <c r="H258" s="90"/>
      <c r="I258" s="90"/>
    </row>
    <row r="259" spans="1:9" x14ac:dyDescent="0.2">
      <c r="A259" s="87" t="s">
        <v>485</v>
      </c>
      <c r="B259" s="88">
        <v>13164</v>
      </c>
      <c r="C259" s="90"/>
      <c r="D259" s="90"/>
      <c r="E259" s="90"/>
      <c r="F259" s="90"/>
      <c r="G259" s="90"/>
      <c r="H259" s="90"/>
      <c r="I259" s="90"/>
    </row>
    <row r="260" spans="1:9" x14ac:dyDescent="0.2">
      <c r="A260" s="99" t="s">
        <v>11</v>
      </c>
      <c r="B260" s="100">
        <v>13179</v>
      </c>
      <c r="C260" s="101">
        <v>1214.2</v>
      </c>
      <c r="D260" s="100">
        <v>30.5</v>
      </c>
      <c r="E260" s="101">
        <v>1422.2</v>
      </c>
      <c r="F260" s="100">
        <v>33.700000000000003</v>
      </c>
      <c r="G260" s="100">
        <v>17.100000000000001</v>
      </c>
      <c r="H260" s="100">
        <v>38</v>
      </c>
      <c r="I260" s="100">
        <v>-11.2</v>
      </c>
    </row>
    <row r="261" spans="1:9" x14ac:dyDescent="0.2">
      <c r="A261" s="87" t="s">
        <v>486</v>
      </c>
      <c r="B261" s="88">
        <v>13181</v>
      </c>
      <c r="C261" s="90"/>
      <c r="D261" s="90"/>
      <c r="E261" s="90"/>
      <c r="F261" s="90"/>
      <c r="G261" s="90"/>
      <c r="H261" s="90"/>
      <c r="I261" s="90"/>
    </row>
    <row r="262" spans="1:9" x14ac:dyDescent="0.2">
      <c r="A262" s="87" t="s">
        <v>487</v>
      </c>
      <c r="B262" s="88">
        <v>13182</v>
      </c>
      <c r="C262" s="90"/>
      <c r="D262" s="90"/>
      <c r="E262" s="90"/>
      <c r="F262" s="90"/>
      <c r="G262" s="90"/>
      <c r="H262" s="90"/>
      <c r="I262" s="90"/>
    </row>
    <row r="263" spans="1:9" x14ac:dyDescent="0.2">
      <c r="A263" s="87" t="s">
        <v>488</v>
      </c>
      <c r="B263" s="88">
        <v>13183</v>
      </c>
      <c r="C263" s="90"/>
      <c r="D263" s="90"/>
      <c r="E263" s="90"/>
      <c r="F263" s="90"/>
      <c r="G263" s="90"/>
      <c r="H263" s="90"/>
      <c r="I263" s="90"/>
    </row>
    <row r="264" spans="1:9" ht="25" x14ac:dyDescent="0.2">
      <c r="A264" s="99" t="s">
        <v>489</v>
      </c>
      <c r="B264" s="100">
        <v>13199</v>
      </c>
      <c r="C264" s="100">
        <v>459.4</v>
      </c>
      <c r="D264" s="100">
        <v>11.5</v>
      </c>
      <c r="E264" s="100">
        <v>431.7</v>
      </c>
      <c r="F264" s="100">
        <v>10.199999999999999</v>
      </c>
      <c r="G264" s="100">
        <v>-6</v>
      </c>
      <c r="H264" s="102"/>
      <c r="I264" s="102"/>
    </row>
    <row r="265" spans="1:9" x14ac:dyDescent="0.2">
      <c r="A265" s="87" t="s">
        <v>490</v>
      </c>
      <c r="B265" s="88">
        <v>13201</v>
      </c>
      <c r="C265" s="90"/>
      <c r="D265" s="90"/>
      <c r="E265" s="90"/>
      <c r="F265" s="90"/>
      <c r="G265" s="90"/>
      <c r="H265" s="90"/>
      <c r="I265" s="90"/>
    </row>
    <row r="266" spans="1:9" x14ac:dyDescent="0.2">
      <c r="A266" s="87" t="s">
        <v>491</v>
      </c>
      <c r="B266" s="88">
        <v>13203</v>
      </c>
      <c r="C266" s="90"/>
      <c r="D266" s="90"/>
      <c r="E266" s="90"/>
      <c r="F266" s="90"/>
      <c r="G266" s="90"/>
      <c r="H266" s="90"/>
      <c r="I266" s="90"/>
    </row>
    <row r="267" spans="1:9" x14ac:dyDescent="0.2">
      <c r="A267" s="87" t="s">
        <v>492</v>
      </c>
      <c r="B267" s="88">
        <v>13204</v>
      </c>
      <c r="C267" s="88">
        <v>901.5</v>
      </c>
      <c r="D267" s="88">
        <v>22.6</v>
      </c>
      <c r="E267" s="89">
        <v>1031.9000000000001</v>
      </c>
      <c r="F267" s="88">
        <v>24.5</v>
      </c>
      <c r="G267" s="88">
        <v>14.5</v>
      </c>
      <c r="H267" s="90"/>
      <c r="I267" s="90"/>
    </row>
    <row r="268" spans="1:9" x14ac:dyDescent="0.2">
      <c r="A268" s="87" t="s">
        <v>493</v>
      </c>
      <c r="B268" s="88">
        <v>13205</v>
      </c>
      <c r="C268" s="90"/>
      <c r="D268" s="90"/>
      <c r="E268" s="90"/>
      <c r="F268" s="90"/>
      <c r="G268" s="90"/>
      <c r="H268" s="90"/>
      <c r="I268" s="90"/>
    </row>
    <row r="269" spans="1:9" x14ac:dyDescent="0.2">
      <c r="A269" s="87" t="s">
        <v>494</v>
      </c>
      <c r="B269" s="88">
        <v>13206</v>
      </c>
      <c r="C269" s="90"/>
      <c r="D269" s="90"/>
      <c r="E269" s="90"/>
      <c r="F269" s="90"/>
      <c r="G269" s="90"/>
      <c r="H269" s="90"/>
      <c r="I269" s="90"/>
    </row>
    <row r="270" spans="1:9" x14ac:dyDescent="0.2">
      <c r="A270" s="87" t="s">
        <v>495</v>
      </c>
      <c r="B270" s="88">
        <v>13207</v>
      </c>
      <c r="C270" s="90"/>
      <c r="D270" s="90"/>
      <c r="E270" s="90"/>
      <c r="F270" s="90"/>
      <c r="G270" s="90"/>
      <c r="H270" s="90"/>
      <c r="I270" s="90"/>
    </row>
    <row r="271" spans="1:9" x14ac:dyDescent="0.2">
      <c r="A271" s="87" t="s">
        <v>496</v>
      </c>
      <c r="B271" s="88">
        <v>13208</v>
      </c>
      <c r="C271" s="90"/>
      <c r="D271" s="90"/>
      <c r="E271" s="90"/>
      <c r="F271" s="90"/>
      <c r="G271" s="90"/>
      <c r="H271" s="90"/>
      <c r="I271" s="90"/>
    </row>
    <row r="272" spans="1:9" x14ac:dyDescent="0.2">
      <c r="A272" s="87" t="s">
        <v>497</v>
      </c>
      <c r="B272" s="88">
        <v>13210</v>
      </c>
      <c r="C272" s="90"/>
      <c r="D272" s="90"/>
      <c r="E272" s="90"/>
      <c r="F272" s="90"/>
      <c r="G272" s="90"/>
      <c r="H272" s="90"/>
      <c r="I272" s="90"/>
    </row>
    <row r="273" spans="1:9" x14ac:dyDescent="0.2">
      <c r="A273" s="87" t="s">
        <v>498</v>
      </c>
      <c r="B273" s="88">
        <v>13211</v>
      </c>
      <c r="C273" s="90"/>
      <c r="D273" s="90"/>
      <c r="E273" s="90"/>
      <c r="F273" s="90"/>
      <c r="G273" s="90"/>
      <c r="H273" s="90"/>
      <c r="I273" s="90"/>
    </row>
    <row r="274" spans="1:9" x14ac:dyDescent="0.2">
      <c r="A274" s="87" t="s">
        <v>499</v>
      </c>
      <c r="B274" s="88">
        <v>13212</v>
      </c>
      <c r="C274" s="90"/>
      <c r="D274" s="90"/>
      <c r="E274" s="90"/>
      <c r="F274" s="90"/>
      <c r="G274" s="90"/>
      <c r="H274" s="90"/>
      <c r="I274" s="90"/>
    </row>
    <row r="275" spans="1:9" x14ac:dyDescent="0.2">
      <c r="A275" s="87" t="s">
        <v>500</v>
      </c>
      <c r="B275" s="88">
        <v>13213</v>
      </c>
      <c r="C275" s="90"/>
      <c r="D275" s="90"/>
      <c r="E275" s="90"/>
      <c r="F275" s="90"/>
      <c r="G275" s="90"/>
      <c r="H275" s="90"/>
      <c r="I275" s="90"/>
    </row>
    <row r="276" spans="1:9" x14ac:dyDescent="0.2">
      <c r="A276" s="87" t="s">
        <v>501</v>
      </c>
      <c r="B276" s="88">
        <v>13214</v>
      </c>
      <c r="C276" s="90"/>
      <c r="D276" s="90"/>
      <c r="E276" s="90"/>
      <c r="F276" s="90"/>
      <c r="G276" s="90"/>
      <c r="H276" s="90"/>
      <c r="I276" s="90"/>
    </row>
    <row r="277" spans="1:9" x14ac:dyDescent="0.2">
      <c r="A277" s="87" t="s">
        <v>502</v>
      </c>
      <c r="B277" s="88">
        <v>13215</v>
      </c>
      <c r="C277" s="90"/>
      <c r="D277" s="90"/>
      <c r="E277" s="90"/>
      <c r="F277" s="90"/>
      <c r="G277" s="90"/>
      <c r="H277" s="90"/>
      <c r="I277" s="90"/>
    </row>
    <row r="278" spans="1:9" x14ac:dyDescent="0.2">
      <c r="A278" s="87" t="s">
        <v>503</v>
      </c>
      <c r="B278" s="88">
        <v>13223</v>
      </c>
      <c r="C278" s="90"/>
      <c r="D278" s="90"/>
      <c r="E278" s="90"/>
      <c r="F278" s="90"/>
      <c r="G278" s="90"/>
      <c r="H278" s="90"/>
      <c r="I278" s="90"/>
    </row>
    <row r="279" spans="1:9" x14ac:dyDescent="0.2">
      <c r="A279" s="87" t="s">
        <v>504</v>
      </c>
      <c r="B279" s="88">
        <v>13224</v>
      </c>
      <c r="C279" s="88">
        <v>17.7</v>
      </c>
      <c r="D279" s="88">
        <v>0.4</v>
      </c>
      <c r="E279" s="88">
        <v>12</v>
      </c>
      <c r="F279" s="88">
        <v>0.3</v>
      </c>
      <c r="G279" s="88">
        <v>-32.200000000000003</v>
      </c>
      <c r="H279" s="90"/>
      <c r="I279" s="90"/>
    </row>
    <row r="280" spans="1:9" x14ac:dyDescent="0.2">
      <c r="A280" s="99" t="s">
        <v>505</v>
      </c>
      <c r="B280" s="100">
        <v>13239</v>
      </c>
      <c r="C280" s="100">
        <v>919.2</v>
      </c>
      <c r="D280" s="100">
        <v>23.1</v>
      </c>
      <c r="E280" s="101">
        <v>1043.9000000000001</v>
      </c>
      <c r="F280" s="100">
        <v>24.8</v>
      </c>
      <c r="G280" s="100">
        <v>13.6</v>
      </c>
      <c r="H280" s="102"/>
      <c r="I280" s="102"/>
    </row>
    <row r="281" spans="1:9" x14ac:dyDescent="0.2">
      <c r="A281" s="95" t="s">
        <v>314</v>
      </c>
      <c r="B281" s="96">
        <v>13249</v>
      </c>
      <c r="C281" s="96">
        <v>133</v>
      </c>
      <c r="D281" s="96">
        <v>3.3</v>
      </c>
      <c r="E281" s="96">
        <v>254.2</v>
      </c>
      <c r="F281" s="96">
        <v>6</v>
      </c>
      <c r="G281" s="96">
        <v>91.1</v>
      </c>
      <c r="H281" s="96">
        <v>4.0999999999999996</v>
      </c>
      <c r="I281" s="96">
        <v>48.2</v>
      </c>
    </row>
    <row r="282" spans="1:9" x14ac:dyDescent="0.2">
      <c r="A282" s="87" t="s">
        <v>506</v>
      </c>
      <c r="B282" s="88">
        <v>13251</v>
      </c>
      <c r="C282" s="90"/>
      <c r="D282" s="90"/>
      <c r="E282" s="90"/>
      <c r="F282" s="90"/>
      <c r="G282" s="90"/>
      <c r="H282" s="90"/>
      <c r="I282" s="90"/>
    </row>
    <row r="283" spans="1:9" x14ac:dyDescent="0.2">
      <c r="A283" s="87" t="s">
        <v>507</v>
      </c>
      <c r="B283" s="88">
        <v>13252</v>
      </c>
      <c r="C283" s="90"/>
      <c r="D283" s="90"/>
      <c r="E283" s="90"/>
      <c r="F283" s="90"/>
      <c r="G283" s="90"/>
      <c r="H283" s="90"/>
      <c r="I283" s="90"/>
    </row>
    <row r="284" spans="1:9" x14ac:dyDescent="0.2">
      <c r="A284" s="87" t="s">
        <v>508</v>
      </c>
      <c r="B284" s="88">
        <v>13253</v>
      </c>
      <c r="C284" s="88">
        <v>105</v>
      </c>
      <c r="D284" s="88">
        <v>2.6</v>
      </c>
      <c r="E284" s="88">
        <v>102.4</v>
      </c>
      <c r="F284" s="88">
        <v>2.4</v>
      </c>
      <c r="G284" s="88">
        <v>-2.5</v>
      </c>
      <c r="H284" s="90"/>
      <c r="I284" s="90"/>
    </row>
    <row r="285" spans="1:9" x14ac:dyDescent="0.2">
      <c r="A285" s="87" t="s">
        <v>509</v>
      </c>
      <c r="B285" s="88">
        <v>13254</v>
      </c>
      <c r="C285" s="90"/>
      <c r="D285" s="90"/>
      <c r="E285" s="90"/>
      <c r="F285" s="90"/>
      <c r="G285" s="90"/>
      <c r="H285" s="90"/>
      <c r="I285" s="90"/>
    </row>
    <row r="286" spans="1:9" x14ac:dyDescent="0.2">
      <c r="A286" s="87" t="s">
        <v>510</v>
      </c>
      <c r="B286" s="88">
        <v>13255</v>
      </c>
      <c r="C286" s="90"/>
      <c r="D286" s="90"/>
      <c r="E286" s="88">
        <v>0.5</v>
      </c>
      <c r="F286" s="90"/>
      <c r="G286" s="90"/>
      <c r="H286" s="90"/>
      <c r="I286" s="90"/>
    </row>
    <row r="287" spans="1:9" x14ac:dyDescent="0.2">
      <c r="A287" s="99" t="s">
        <v>511</v>
      </c>
      <c r="B287" s="100">
        <v>13269</v>
      </c>
      <c r="C287" s="100">
        <v>-105</v>
      </c>
      <c r="D287" s="100">
        <v>-2.6</v>
      </c>
      <c r="E287" s="100">
        <v>-102.9</v>
      </c>
      <c r="F287" s="100">
        <v>-2.4</v>
      </c>
      <c r="G287" s="100">
        <v>2</v>
      </c>
      <c r="H287" s="100">
        <v>-0.5</v>
      </c>
      <c r="I287" s="100">
        <v>360.6</v>
      </c>
    </row>
    <row r="288" spans="1:9" x14ac:dyDescent="0.2">
      <c r="A288" s="95" t="s">
        <v>512</v>
      </c>
      <c r="B288" s="96">
        <v>13279</v>
      </c>
      <c r="C288" s="96">
        <v>28</v>
      </c>
      <c r="D288" s="96">
        <v>0.7</v>
      </c>
      <c r="E288" s="96">
        <v>151.30000000000001</v>
      </c>
      <c r="F288" s="96">
        <v>3.6</v>
      </c>
      <c r="G288" s="96">
        <v>440.4</v>
      </c>
      <c r="H288" s="97"/>
      <c r="I288" s="97"/>
    </row>
    <row r="289" spans="1:9" x14ac:dyDescent="0.2">
      <c r="A289" s="87" t="s">
        <v>513</v>
      </c>
      <c r="B289" s="88">
        <v>13281</v>
      </c>
      <c r="C289" s="90"/>
      <c r="D289" s="90"/>
      <c r="E289" s="90"/>
      <c r="F289" s="90"/>
      <c r="G289" s="90"/>
      <c r="H289" s="90"/>
      <c r="I289" s="90"/>
    </row>
    <row r="290" spans="1:9" x14ac:dyDescent="0.2">
      <c r="A290" s="87" t="s">
        <v>507</v>
      </c>
      <c r="B290" s="88">
        <v>13282</v>
      </c>
      <c r="C290" s="90"/>
      <c r="D290" s="90"/>
      <c r="E290" s="90"/>
      <c r="F290" s="90"/>
      <c r="G290" s="90"/>
      <c r="H290" s="90"/>
      <c r="I290" s="90"/>
    </row>
    <row r="291" spans="1:9" x14ac:dyDescent="0.2">
      <c r="A291" s="87" t="s">
        <v>514</v>
      </c>
      <c r="B291" s="88">
        <v>13283</v>
      </c>
      <c r="C291" s="90"/>
      <c r="D291" s="90"/>
      <c r="E291" s="90"/>
      <c r="F291" s="90"/>
      <c r="G291" s="90"/>
      <c r="H291" s="90"/>
      <c r="I291" s="90"/>
    </row>
    <row r="292" spans="1:9" x14ac:dyDescent="0.2">
      <c r="A292" s="87" t="s">
        <v>507</v>
      </c>
      <c r="B292" s="88">
        <v>13284</v>
      </c>
      <c r="C292" s="90"/>
      <c r="D292" s="90"/>
      <c r="E292" s="90"/>
      <c r="F292" s="90"/>
      <c r="G292" s="90"/>
      <c r="H292" s="90"/>
      <c r="I292" s="90"/>
    </row>
    <row r="293" spans="1:9" x14ac:dyDescent="0.2">
      <c r="A293" s="87" t="s">
        <v>515</v>
      </c>
      <c r="B293" s="88">
        <v>13285</v>
      </c>
      <c r="C293" s="90"/>
      <c r="D293" s="90"/>
      <c r="E293" s="90"/>
      <c r="F293" s="90"/>
      <c r="G293" s="90"/>
      <c r="H293" s="90"/>
      <c r="I293" s="90"/>
    </row>
    <row r="294" spans="1:9" x14ac:dyDescent="0.2">
      <c r="A294" s="99" t="s">
        <v>516</v>
      </c>
      <c r="B294" s="100">
        <v>13299</v>
      </c>
      <c r="C294" s="102"/>
      <c r="D294" s="102"/>
      <c r="E294" s="102"/>
      <c r="F294" s="102"/>
      <c r="G294" s="102"/>
      <c r="H294" s="102"/>
      <c r="I294" s="102"/>
    </row>
    <row r="295" spans="1:9" x14ac:dyDescent="0.2">
      <c r="A295" s="87" t="s">
        <v>517</v>
      </c>
      <c r="B295" s="88">
        <v>13301</v>
      </c>
      <c r="C295" s="90"/>
      <c r="D295" s="90"/>
      <c r="E295" s="90"/>
      <c r="F295" s="90"/>
      <c r="G295" s="90"/>
      <c r="H295" s="90"/>
      <c r="I295" s="90"/>
    </row>
    <row r="296" spans="1:9" x14ac:dyDescent="0.2">
      <c r="A296" s="87" t="s">
        <v>518</v>
      </c>
      <c r="B296" s="88">
        <v>13302</v>
      </c>
      <c r="C296" s="90"/>
      <c r="D296" s="90"/>
      <c r="E296" s="90"/>
      <c r="F296" s="90"/>
      <c r="G296" s="90"/>
      <c r="H296" s="90"/>
      <c r="I296" s="90"/>
    </row>
    <row r="297" spans="1:9" x14ac:dyDescent="0.2">
      <c r="A297" s="99" t="s">
        <v>519</v>
      </c>
      <c r="B297" s="100">
        <v>13319</v>
      </c>
      <c r="C297" s="102"/>
      <c r="D297" s="102"/>
      <c r="E297" s="102"/>
      <c r="F297" s="102"/>
      <c r="G297" s="102"/>
      <c r="H297" s="102"/>
      <c r="I297" s="102"/>
    </row>
    <row r="298" spans="1:9" x14ac:dyDescent="0.2">
      <c r="A298" s="99" t="s">
        <v>520</v>
      </c>
      <c r="B298" s="100">
        <v>13329</v>
      </c>
      <c r="C298" s="102"/>
      <c r="D298" s="102"/>
      <c r="E298" s="102"/>
      <c r="F298" s="102"/>
      <c r="G298" s="102"/>
      <c r="H298" s="102"/>
      <c r="I298" s="102"/>
    </row>
    <row r="299" spans="1:9" x14ac:dyDescent="0.2">
      <c r="A299" s="99" t="s">
        <v>521</v>
      </c>
      <c r="B299" s="100">
        <v>13339</v>
      </c>
      <c r="C299" s="100">
        <v>-105</v>
      </c>
      <c r="D299" s="100">
        <v>-2.6</v>
      </c>
      <c r="E299" s="100">
        <v>-102.9</v>
      </c>
      <c r="F299" s="100">
        <v>-2.4</v>
      </c>
      <c r="G299" s="100">
        <v>2</v>
      </c>
      <c r="H299" s="100">
        <v>-0.5</v>
      </c>
      <c r="I299" s="100">
        <v>360.6</v>
      </c>
    </row>
    <row r="300" spans="1:9" x14ac:dyDescent="0.2">
      <c r="A300" s="95" t="s">
        <v>522</v>
      </c>
      <c r="B300" s="96">
        <v>13349</v>
      </c>
      <c r="C300" s="96">
        <v>28</v>
      </c>
      <c r="D300" s="96">
        <v>0.7</v>
      </c>
      <c r="E300" s="96">
        <v>151.30000000000001</v>
      </c>
      <c r="F300" s="96">
        <v>3.6</v>
      </c>
      <c r="G300" s="96">
        <v>440.4</v>
      </c>
      <c r="H300" s="96">
        <v>3.6</v>
      </c>
      <c r="I300" s="96">
        <v>-1.1000000000000001</v>
      </c>
    </row>
    <row r="301" spans="1:9" x14ac:dyDescent="0.2">
      <c r="A301" s="87" t="s">
        <v>523</v>
      </c>
      <c r="B301" s="88">
        <v>13351</v>
      </c>
      <c r="C301" s="90"/>
      <c r="D301" s="90"/>
      <c r="E301" s="90"/>
      <c r="F301" s="90"/>
      <c r="G301" s="90"/>
      <c r="H301" s="90"/>
      <c r="I301" s="90"/>
    </row>
    <row r="302" spans="1:9" x14ac:dyDescent="0.2">
      <c r="A302" s="87" t="s">
        <v>524</v>
      </c>
      <c r="B302" s="88">
        <v>13352</v>
      </c>
      <c r="C302" s="90"/>
      <c r="D302" s="90"/>
      <c r="E302" s="90"/>
      <c r="F302" s="90"/>
      <c r="G302" s="90"/>
      <c r="H302" s="90"/>
      <c r="I302" s="90"/>
    </row>
    <row r="303" spans="1:9" x14ac:dyDescent="0.2">
      <c r="A303" s="87" t="s">
        <v>525</v>
      </c>
      <c r="B303" s="88">
        <v>13353</v>
      </c>
      <c r="C303" s="90"/>
      <c r="D303" s="90"/>
      <c r="E303" s="90"/>
      <c r="F303" s="90"/>
      <c r="G303" s="90"/>
      <c r="H303" s="90"/>
      <c r="I303" s="90"/>
    </row>
    <row r="304" spans="1:9" x14ac:dyDescent="0.2">
      <c r="A304" s="87" t="s">
        <v>526</v>
      </c>
      <c r="B304" s="88">
        <v>13354</v>
      </c>
      <c r="C304" s="90"/>
      <c r="D304" s="90"/>
      <c r="E304" s="90"/>
      <c r="F304" s="90"/>
      <c r="G304" s="90"/>
      <c r="H304" s="90"/>
      <c r="I304" s="90"/>
    </row>
    <row r="305" spans="1:9" x14ac:dyDescent="0.2">
      <c r="A305" s="87" t="s">
        <v>527</v>
      </c>
      <c r="B305" s="88">
        <v>13356</v>
      </c>
      <c r="C305" s="90"/>
      <c r="D305" s="90"/>
      <c r="E305" s="90"/>
      <c r="F305" s="90"/>
      <c r="G305" s="90"/>
      <c r="H305" s="90"/>
      <c r="I305" s="90"/>
    </row>
    <row r="306" spans="1:9" x14ac:dyDescent="0.2">
      <c r="A306" s="87" t="s">
        <v>528</v>
      </c>
      <c r="B306" s="88">
        <v>13357</v>
      </c>
      <c r="C306" s="90"/>
      <c r="D306" s="90"/>
      <c r="E306" s="90"/>
      <c r="F306" s="90"/>
      <c r="G306" s="90"/>
      <c r="H306" s="90"/>
      <c r="I306" s="90"/>
    </row>
    <row r="307" spans="1:9" x14ac:dyDescent="0.2">
      <c r="A307" s="87" t="s">
        <v>529</v>
      </c>
      <c r="B307" s="88">
        <v>13361</v>
      </c>
      <c r="C307" s="90"/>
      <c r="D307" s="90"/>
      <c r="E307" s="90"/>
      <c r="F307" s="90"/>
      <c r="G307" s="90"/>
      <c r="H307" s="90"/>
      <c r="I307" s="90"/>
    </row>
    <row r="308" spans="1:9" x14ac:dyDescent="0.2">
      <c r="A308" s="99" t="s">
        <v>530</v>
      </c>
      <c r="B308" s="100">
        <v>13379</v>
      </c>
      <c r="C308" s="100">
        <v>27.8</v>
      </c>
      <c r="D308" s="100">
        <v>0.7</v>
      </c>
      <c r="E308" s="100">
        <v>27.6</v>
      </c>
      <c r="F308" s="100">
        <v>0.7</v>
      </c>
      <c r="G308" s="100">
        <v>-0.7</v>
      </c>
      <c r="H308" s="102"/>
      <c r="I308" s="102"/>
    </row>
    <row r="309" spans="1:9" x14ac:dyDescent="0.2">
      <c r="A309" s="87" t="s">
        <v>531</v>
      </c>
      <c r="B309" s="88">
        <v>13381</v>
      </c>
      <c r="C309" s="90"/>
      <c r="D309" s="90"/>
      <c r="E309" s="90"/>
      <c r="F309" s="90"/>
      <c r="G309" s="90"/>
      <c r="H309" s="90"/>
      <c r="I309" s="90"/>
    </row>
    <row r="310" spans="1:9" x14ac:dyDescent="0.2">
      <c r="A310" s="87" t="s">
        <v>532</v>
      </c>
      <c r="B310" s="88">
        <v>13383</v>
      </c>
      <c r="C310" s="90"/>
      <c r="D310" s="90"/>
      <c r="E310" s="90"/>
      <c r="F310" s="90"/>
      <c r="G310" s="90"/>
      <c r="H310" s="90"/>
      <c r="I310" s="90"/>
    </row>
    <row r="311" spans="1:9" x14ac:dyDescent="0.2">
      <c r="A311" s="87" t="s">
        <v>533</v>
      </c>
      <c r="B311" s="88">
        <v>13385</v>
      </c>
      <c r="C311" s="90"/>
      <c r="D311" s="90"/>
      <c r="E311" s="90"/>
      <c r="F311" s="90"/>
      <c r="G311" s="90"/>
      <c r="H311" s="90"/>
      <c r="I311" s="90"/>
    </row>
    <row r="312" spans="1:9" x14ac:dyDescent="0.2">
      <c r="A312" s="87" t="s">
        <v>534</v>
      </c>
      <c r="B312" s="88">
        <v>13386</v>
      </c>
      <c r="C312" s="90"/>
      <c r="D312" s="90"/>
      <c r="E312" s="90"/>
      <c r="F312" s="90"/>
      <c r="G312" s="90"/>
      <c r="H312" s="90"/>
      <c r="I312" s="90"/>
    </row>
    <row r="313" spans="1:9" x14ac:dyDescent="0.2">
      <c r="A313" s="87" t="s">
        <v>535</v>
      </c>
      <c r="B313" s="88">
        <v>13387</v>
      </c>
      <c r="C313" s="90"/>
      <c r="D313" s="90"/>
      <c r="E313" s="90"/>
      <c r="F313" s="90"/>
      <c r="G313" s="90"/>
      <c r="H313" s="90"/>
      <c r="I313" s="90"/>
    </row>
    <row r="314" spans="1:9" x14ac:dyDescent="0.2">
      <c r="A314" s="87" t="s">
        <v>536</v>
      </c>
      <c r="B314" s="88">
        <v>13388</v>
      </c>
      <c r="C314" s="90"/>
      <c r="D314" s="90"/>
      <c r="E314" s="90"/>
      <c r="F314" s="90"/>
      <c r="G314" s="90"/>
      <c r="H314" s="90"/>
      <c r="I314" s="90"/>
    </row>
    <row r="315" spans="1:9" x14ac:dyDescent="0.2">
      <c r="A315" s="99" t="s">
        <v>537</v>
      </c>
      <c r="B315" s="100">
        <v>13399</v>
      </c>
      <c r="C315" s="100">
        <v>0.6</v>
      </c>
      <c r="D315" s="102"/>
      <c r="E315" s="100">
        <v>79.400000000000006</v>
      </c>
      <c r="F315" s="100">
        <v>1.9</v>
      </c>
      <c r="G315" s="101">
        <v>13133.3</v>
      </c>
      <c r="H315" s="102"/>
      <c r="I315" s="102"/>
    </row>
    <row r="316" spans="1:9" x14ac:dyDescent="0.2">
      <c r="A316" s="87" t="s">
        <v>538</v>
      </c>
      <c r="B316" s="88">
        <v>13421</v>
      </c>
      <c r="C316" s="90"/>
      <c r="D316" s="90"/>
      <c r="E316" s="90"/>
      <c r="F316" s="90"/>
      <c r="G316" s="90"/>
      <c r="H316" s="90"/>
      <c r="I316" s="90"/>
    </row>
    <row r="317" spans="1:9" x14ac:dyDescent="0.2">
      <c r="A317" s="87" t="s">
        <v>539</v>
      </c>
      <c r="B317" s="88">
        <v>13422</v>
      </c>
      <c r="C317" s="90"/>
      <c r="D317" s="90"/>
      <c r="E317" s="90"/>
      <c r="F317" s="90"/>
      <c r="G317" s="90"/>
      <c r="H317" s="90"/>
      <c r="I317" s="90"/>
    </row>
    <row r="318" spans="1:9" x14ac:dyDescent="0.2">
      <c r="A318" s="99" t="s">
        <v>540</v>
      </c>
      <c r="B318" s="100">
        <v>13439</v>
      </c>
      <c r="C318" s="102"/>
      <c r="D318" s="102"/>
      <c r="E318" s="102"/>
      <c r="F318" s="102"/>
      <c r="G318" s="102"/>
      <c r="H318" s="102"/>
      <c r="I318" s="102"/>
    </row>
    <row r="319" spans="1:9" ht="25" x14ac:dyDescent="0.2">
      <c r="A319" s="87" t="s">
        <v>541</v>
      </c>
      <c r="B319" s="88">
        <v>13441</v>
      </c>
      <c r="C319" s="90"/>
      <c r="D319" s="90"/>
      <c r="E319" s="90"/>
      <c r="F319" s="90"/>
      <c r="G319" s="90"/>
      <c r="H319" s="90"/>
      <c r="I319" s="90"/>
    </row>
    <row r="320" spans="1:9" x14ac:dyDescent="0.2">
      <c r="A320" s="87" t="s">
        <v>542</v>
      </c>
      <c r="B320" s="88">
        <v>13442</v>
      </c>
      <c r="C320" s="90"/>
      <c r="D320" s="90"/>
      <c r="E320" s="90"/>
      <c r="F320" s="90"/>
      <c r="G320" s="90"/>
      <c r="H320" s="90"/>
      <c r="I320" s="90"/>
    </row>
    <row r="321" spans="1:9" x14ac:dyDescent="0.2">
      <c r="A321" s="87" t="s">
        <v>543</v>
      </c>
      <c r="B321" s="88">
        <v>13443</v>
      </c>
      <c r="C321" s="90"/>
      <c r="D321" s="90"/>
      <c r="E321" s="90"/>
      <c r="F321" s="90"/>
      <c r="G321" s="90"/>
      <c r="H321" s="90"/>
      <c r="I321" s="90"/>
    </row>
    <row r="322" spans="1:9" x14ac:dyDescent="0.2">
      <c r="A322" s="87" t="s">
        <v>544</v>
      </c>
      <c r="B322" s="88">
        <v>13444</v>
      </c>
      <c r="C322" s="90"/>
      <c r="D322" s="90"/>
      <c r="E322" s="90"/>
      <c r="F322" s="90"/>
      <c r="G322" s="90"/>
      <c r="H322" s="90"/>
      <c r="I322" s="90"/>
    </row>
    <row r="323" spans="1:9" x14ac:dyDescent="0.2">
      <c r="A323" s="87" t="s">
        <v>545</v>
      </c>
      <c r="B323" s="88">
        <v>13445</v>
      </c>
      <c r="C323" s="90"/>
      <c r="D323" s="90"/>
      <c r="E323" s="90"/>
      <c r="F323" s="90"/>
      <c r="G323" s="90"/>
      <c r="H323" s="90"/>
      <c r="I323" s="90"/>
    </row>
    <row r="324" spans="1:9" x14ac:dyDescent="0.2">
      <c r="A324" s="87" t="s">
        <v>546</v>
      </c>
      <c r="B324" s="88">
        <v>13446</v>
      </c>
      <c r="C324" s="90"/>
      <c r="D324" s="90"/>
      <c r="E324" s="90"/>
      <c r="F324" s="90"/>
      <c r="G324" s="90"/>
      <c r="H324" s="90"/>
      <c r="I324" s="90"/>
    </row>
    <row r="325" spans="1:9" x14ac:dyDescent="0.2">
      <c r="A325" s="87" t="s">
        <v>547</v>
      </c>
      <c r="B325" s="88">
        <v>13447</v>
      </c>
      <c r="C325" s="90"/>
      <c r="D325" s="90"/>
      <c r="E325" s="90"/>
      <c r="F325" s="90"/>
      <c r="G325" s="90"/>
      <c r="H325" s="90"/>
      <c r="I325" s="90"/>
    </row>
    <row r="326" spans="1:9" x14ac:dyDescent="0.2">
      <c r="A326" s="87" t="s">
        <v>548</v>
      </c>
      <c r="B326" s="88">
        <v>13448</v>
      </c>
      <c r="C326" s="90"/>
      <c r="D326" s="90"/>
      <c r="E326" s="90"/>
      <c r="F326" s="90"/>
      <c r="G326" s="90"/>
      <c r="H326" s="90"/>
      <c r="I326" s="90"/>
    </row>
    <row r="327" spans="1:9" x14ac:dyDescent="0.2">
      <c r="A327" s="87" t="s">
        <v>549</v>
      </c>
      <c r="B327" s="88">
        <v>13450</v>
      </c>
      <c r="C327" s="90"/>
      <c r="D327" s="90"/>
      <c r="E327" s="90"/>
      <c r="F327" s="90"/>
      <c r="G327" s="90"/>
      <c r="H327" s="90"/>
      <c r="I327" s="90"/>
    </row>
    <row r="328" spans="1:9" x14ac:dyDescent="0.2">
      <c r="A328" s="99" t="s">
        <v>550</v>
      </c>
      <c r="B328" s="100">
        <v>13469</v>
      </c>
      <c r="C328" s="102"/>
      <c r="D328" s="102"/>
      <c r="E328" s="102"/>
      <c r="F328" s="102"/>
      <c r="G328" s="102"/>
      <c r="H328" s="102"/>
      <c r="I328" s="102"/>
    </row>
    <row r="329" spans="1:9" x14ac:dyDescent="0.2">
      <c r="A329" s="99" t="s">
        <v>551</v>
      </c>
      <c r="B329" s="100">
        <v>13529</v>
      </c>
      <c r="C329" s="100">
        <v>27.2</v>
      </c>
      <c r="D329" s="100">
        <v>0.7</v>
      </c>
      <c r="E329" s="100">
        <v>-51.8</v>
      </c>
      <c r="F329" s="100">
        <v>-1.2</v>
      </c>
      <c r="G329" s="100">
        <v>-290.39999999999998</v>
      </c>
      <c r="H329" s="102"/>
      <c r="I329" s="102"/>
    </row>
    <row r="330" spans="1:9" x14ac:dyDescent="0.2">
      <c r="A330" s="99" t="s">
        <v>552</v>
      </c>
      <c r="B330" s="100">
        <v>13539</v>
      </c>
      <c r="C330" s="100">
        <v>55.2</v>
      </c>
      <c r="D330" s="100">
        <v>1.4</v>
      </c>
      <c r="E330" s="100">
        <v>99.5</v>
      </c>
      <c r="F330" s="100">
        <v>2.4</v>
      </c>
      <c r="G330" s="100">
        <v>80.3</v>
      </c>
      <c r="H330" s="102"/>
      <c r="I330" s="102"/>
    </row>
    <row r="331" spans="1:9" x14ac:dyDescent="0.2">
      <c r="A331" s="87" t="s">
        <v>553</v>
      </c>
      <c r="B331" s="88">
        <v>13541</v>
      </c>
      <c r="C331" s="88">
        <v>4.2</v>
      </c>
      <c r="D331" s="88">
        <v>0.1</v>
      </c>
      <c r="E331" s="88">
        <v>7.7</v>
      </c>
      <c r="F331" s="88">
        <v>0.2</v>
      </c>
      <c r="G331" s="88">
        <v>83.3</v>
      </c>
      <c r="H331" s="88">
        <v>0.8</v>
      </c>
      <c r="I331" s="88">
        <v>-77.2</v>
      </c>
    </row>
    <row r="332" spans="1:9" x14ac:dyDescent="0.2">
      <c r="A332" s="87" t="s">
        <v>554</v>
      </c>
      <c r="B332" s="88">
        <v>13542</v>
      </c>
      <c r="C332" s="90"/>
      <c r="D332" s="90"/>
      <c r="E332" s="90"/>
      <c r="F332" s="90"/>
      <c r="G332" s="90"/>
      <c r="H332" s="90"/>
      <c r="I332" s="90"/>
    </row>
    <row r="333" spans="1:9" x14ac:dyDescent="0.2">
      <c r="A333" s="99" t="s">
        <v>315</v>
      </c>
      <c r="B333" s="100">
        <v>13549</v>
      </c>
      <c r="C333" s="100">
        <v>51</v>
      </c>
      <c r="D333" s="100">
        <v>1.3</v>
      </c>
      <c r="E333" s="100">
        <v>91.8</v>
      </c>
      <c r="F333" s="100">
        <v>2.2000000000000002</v>
      </c>
      <c r="G333" s="100">
        <v>80</v>
      </c>
      <c r="H333" s="102"/>
      <c r="I333" s="102"/>
    </row>
    <row r="334" spans="1:9" x14ac:dyDescent="0.2">
      <c r="A334" s="87" t="s">
        <v>555</v>
      </c>
      <c r="B334" s="88">
        <v>13551</v>
      </c>
      <c r="C334" s="90"/>
      <c r="D334" s="90"/>
      <c r="E334" s="90"/>
      <c r="F334" s="90"/>
      <c r="G334" s="90"/>
      <c r="H334" s="90"/>
      <c r="I334" s="90"/>
    </row>
    <row r="335" spans="1:9" x14ac:dyDescent="0.2">
      <c r="A335" s="87" t="s">
        <v>556</v>
      </c>
      <c r="B335" s="88">
        <v>13552</v>
      </c>
      <c r="C335" s="90"/>
      <c r="D335" s="90"/>
      <c r="E335" s="90"/>
      <c r="F335" s="90"/>
      <c r="G335" s="90"/>
      <c r="H335" s="90"/>
      <c r="I335" s="90"/>
    </row>
    <row r="336" spans="1:9" x14ac:dyDescent="0.2">
      <c r="A336" s="95" t="s">
        <v>557</v>
      </c>
      <c r="B336" s="96">
        <v>13559</v>
      </c>
      <c r="C336" s="96">
        <v>51</v>
      </c>
      <c r="D336" s="96">
        <v>1.3</v>
      </c>
      <c r="E336" s="96">
        <v>91.8</v>
      </c>
      <c r="F336" s="96">
        <v>2.2000000000000002</v>
      </c>
      <c r="G336" s="96">
        <v>80</v>
      </c>
      <c r="H336" s="96">
        <v>2.8</v>
      </c>
      <c r="I336" s="96">
        <v>-22.8</v>
      </c>
    </row>
    <row r="337" spans="1:9" x14ac:dyDescent="0.2">
      <c r="A337" s="87" t="s">
        <v>558</v>
      </c>
      <c r="B337" s="88">
        <v>13561</v>
      </c>
      <c r="C337" s="90"/>
      <c r="D337" s="90"/>
      <c r="E337" s="90"/>
      <c r="F337" s="90"/>
      <c r="G337" s="90"/>
      <c r="H337" s="90"/>
      <c r="I337" s="90"/>
    </row>
    <row r="338" spans="1:9" x14ac:dyDescent="0.2">
      <c r="A338" s="87" t="s">
        <v>559</v>
      </c>
      <c r="B338" s="88">
        <v>13565</v>
      </c>
      <c r="C338" s="90"/>
      <c r="D338" s="90"/>
      <c r="E338" s="90"/>
      <c r="F338" s="90"/>
      <c r="G338" s="90"/>
      <c r="H338" s="90"/>
      <c r="I338" s="90"/>
    </row>
    <row r="339" spans="1:9" x14ac:dyDescent="0.2">
      <c r="A339" s="87" t="s">
        <v>560</v>
      </c>
      <c r="B339" s="88">
        <v>13571</v>
      </c>
      <c r="C339" s="90"/>
      <c r="D339" s="90"/>
      <c r="E339" s="90"/>
      <c r="F339" s="90"/>
      <c r="G339" s="90"/>
      <c r="H339" s="90"/>
      <c r="I339" s="90"/>
    </row>
    <row r="340" spans="1:9" x14ac:dyDescent="0.2">
      <c r="A340" s="87" t="s">
        <v>561</v>
      </c>
      <c r="B340" s="88">
        <v>13581</v>
      </c>
      <c r="C340" s="90"/>
      <c r="D340" s="90"/>
      <c r="E340" s="90"/>
      <c r="F340" s="90"/>
      <c r="G340" s="90"/>
      <c r="H340" s="90"/>
      <c r="I340" s="90"/>
    </row>
    <row r="341" spans="1:9" x14ac:dyDescent="0.2">
      <c r="A341" s="87" t="s">
        <v>562</v>
      </c>
      <c r="B341" s="88">
        <v>13582</v>
      </c>
      <c r="C341" s="90"/>
      <c r="D341" s="90"/>
      <c r="E341" s="90"/>
      <c r="F341" s="90"/>
      <c r="G341" s="90"/>
      <c r="H341" s="90"/>
      <c r="I341" s="90"/>
    </row>
    <row r="342" spans="1:9" x14ac:dyDescent="0.2">
      <c r="A342" s="87" t="s">
        <v>563</v>
      </c>
      <c r="B342" s="88">
        <v>13583</v>
      </c>
      <c r="C342" s="90"/>
      <c r="D342" s="90"/>
      <c r="E342" s="90"/>
      <c r="F342" s="90"/>
      <c r="G342" s="90"/>
      <c r="H342" s="90"/>
      <c r="I342" s="90"/>
    </row>
    <row r="343" spans="1:9" x14ac:dyDescent="0.2">
      <c r="A343" s="87" t="s">
        <v>564</v>
      </c>
      <c r="B343" s="88">
        <v>13584</v>
      </c>
      <c r="C343" s="90"/>
      <c r="D343" s="90"/>
      <c r="E343" s="90"/>
      <c r="F343" s="90"/>
      <c r="G343" s="90"/>
      <c r="H343" s="90"/>
      <c r="I343" s="90"/>
    </row>
    <row r="344" spans="1:9" x14ac:dyDescent="0.2">
      <c r="A344" s="87" t="s">
        <v>565</v>
      </c>
      <c r="B344" s="88">
        <v>13585</v>
      </c>
      <c r="C344" s="90"/>
      <c r="D344" s="90"/>
      <c r="E344" s="90"/>
      <c r="F344" s="90"/>
      <c r="G344" s="90"/>
      <c r="H344" s="90"/>
      <c r="I344" s="90"/>
    </row>
    <row r="345" spans="1:9" x14ac:dyDescent="0.2">
      <c r="A345" s="87" t="s">
        <v>566</v>
      </c>
      <c r="B345" s="88">
        <v>13586</v>
      </c>
      <c r="C345" s="90"/>
      <c r="D345" s="90"/>
      <c r="E345" s="90"/>
      <c r="F345" s="90"/>
      <c r="G345" s="90"/>
      <c r="H345" s="90"/>
      <c r="I345" s="90"/>
    </row>
    <row r="346" spans="1:9" x14ac:dyDescent="0.2">
      <c r="A346" s="99" t="s">
        <v>567</v>
      </c>
      <c r="B346" s="100">
        <v>13599</v>
      </c>
      <c r="C346" s="102"/>
      <c r="D346" s="102"/>
      <c r="E346" s="102"/>
      <c r="F346" s="102"/>
      <c r="G346" s="102"/>
      <c r="H346" s="102"/>
      <c r="I346" s="102"/>
    </row>
    <row r="347" spans="1:9" x14ac:dyDescent="0.2">
      <c r="A347" s="87" t="s">
        <v>568</v>
      </c>
      <c r="B347" s="88">
        <v>13601</v>
      </c>
      <c r="C347" s="90"/>
      <c r="D347" s="90"/>
      <c r="E347" s="90"/>
      <c r="F347" s="90"/>
      <c r="G347" s="90"/>
      <c r="H347" s="90"/>
      <c r="I347" s="90"/>
    </row>
    <row r="348" spans="1:9" x14ac:dyDescent="0.2">
      <c r="A348" s="87" t="s">
        <v>569</v>
      </c>
      <c r="B348" s="88">
        <v>13602</v>
      </c>
      <c r="C348" s="90"/>
      <c r="D348" s="90"/>
      <c r="E348" s="90"/>
      <c r="F348" s="90"/>
      <c r="G348" s="90"/>
      <c r="H348" s="90"/>
      <c r="I348" s="90"/>
    </row>
    <row r="349" spans="1:9" x14ac:dyDescent="0.2">
      <c r="A349" s="87" t="s">
        <v>570</v>
      </c>
      <c r="B349" s="88">
        <v>13603</v>
      </c>
      <c r="C349" s="90"/>
      <c r="D349" s="90"/>
      <c r="E349" s="90"/>
      <c r="F349" s="90"/>
      <c r="G349" s="90"/>
      <c r="H349" s="90"/>
      <c r="I349" s="90"/>
    </row>
    <row r="350" spans="1:9" x14ac:dyDescent="0.2">
      <c r="A350" s="87" t="s">
        <v>571</v>
      </c>
      <c r="B350" s="88">
        <v>13604</v>
      </c>
      <c r="C350" s="90"/>
      <c r="D350" s="90"/>
      <c r="E350" s="90"/>
      <c r="F350" s="90"/>
      <c r="G350" s="90"/>
      <c r="H350" s="90"/>
      <c r="I350" s="90"/>
    </row>
    <row r="351" spans="1:9" x14ac:dyDescent="0.2">
      <c r="A351" s="87" t="s">
        <v>572</v>
      </c>
      <c r="B351" s="88">
        <v>13605</v>
      </c>
      <c r="C351" s="90"/>
      <c r="D351" s="90"/>
      <c r="E351" s="90"/>
      <c r="F351" s="90"/>
      <c r="G351" s="90"/>
      <c r="H351" s="90"/>
      <c r="I351" s="90"/>
    </row>
    <row r="352" spans="1:9" x14ac:dyDescent="0.2">
      <c r="A352" s="87" t="s">
        <v>573</v>
      </c>
      <c r="B352" s="88">
        <v>13606</v>
      </c>
      <c r="C352" s="90"/>
      <c r="D352" s="90"/>
      <c r="E352" s="90"/>
      <c r="F352" s="90"/>
      <c r="G352" s="90"/>
      <c r="H352" s="90"/>
      <c r="I352" s="90"/>
    </row>
    <row r="353" spans="1:9" x14ac:dyDescent="0.2">
      <c r="A353" s="87" t="s">
        <v>574</v>
      </c>
      <c r="B353" s="88">
        <v>13607</v>
      </c>
      <c r="C353" s="90"/>
      <c r="D353" s="90"/>
      <c r="E353" s="90"/>
      <c r="F353" s="90"/>
      <c r="G353" s="90"/>
      <c r="H353" s="90"/>
      <c r="I353" s="90"/>
    </row>
    <row r="354" spans="1:9" x14ac:dyDescent="0.2">
      <c r="A354" s="99" t="s">
        <v>575</v>
      </c>
      <c r="B354" s="100">
        <v>13619</v>
      </c>
      <c r="C354" s="102"/>
      <c r="D354" s="102"/>
      <c r="E354" s="102"/>
      <c r="F354" s="102"/>
      <c r="G354" s="102"/>
      <c r="H354" s="102"/>
      <c r="I354" s="102"/>
    </row>
    <row r="355" spans="1:9" x14ac:dyDescent="0.2">
      <c r="A355" s="99" t="s">
        <v>576</v>
      </c>
      <c r="B355" s="100">
        <v>13629</v>
      </c>
      <c r="C355" s="102"/>
      <c r="D355" s="102"/>
      <c r="E355" s="102"/>
      <c r="F355" s="102"/>
      <c r="G355" s="102"/>
      <c r="H355" s="102"/>
      <c r="I355" s="102"/>
    </row>
    <row r="356" spans="1:9" x14ac:dyDescent="0.2">
      <c r="A356" s="95" t="s">
        <v>577</v>
      </c>
      <c r="B356" s="96">
        <v>13700</v>
      </c>
      <c r="C356" s="96">
        <v>51</v>
      </c>
      <c r="D356" s="96">
        <v>1.3</v>
      </c>
      <c r="E356" s="96">
        <v>91.8</v>
      </c>
      <c r="F356" s="96">
        <v>2.2000000000000002</v>
      </c>
      <c r="G356" s="96">
        <v>80</v>
      </c>
      <c r="H356" s="97"/>
      <c r="I356" s="97"/>
    </row>
    <row r="357" spans="1:9" ht="16" x14ac:dyDescent="0.2">
      <c r="A357" s="57"/>
    </row>
    <row r="358" spans="1:9" ht="16" x14ac:dyDescent="0.2">
      <c r="A358" s="57"/>
    </row>
    <row r="359" spans="1:9" ht="16" x14ac:dyDescent="0.2">
      <c r="A359" s="57" t="s">
        <v>578</v>
      </c>
    </row>
    <row r="360" spans="1:9" x14ac:dyDescent="0.2">
      <c r="A360" s="103" t="s">
        <v>579</v>
      </c>
      <c r="B360" s="104"/>
      <c r="C360" s="105"/>
      <c r="D360" s="106">
        <v>2023</v>
      </c>
      <c r="E360" s="106">
        <v>2024</v>
      </c>
    </row>
    <row r="361" spans="1:9" x14ac:dyDescent="0.2">
      <c r="A361" s="107" t="s">
        <v>580</v>
      </c>
      <c r="B361" s="108"/>
      <c r="C361" s="88">
        <v>17101</v>
      </c>
      <c r="D361" s="89">
        <v>3965.4</v>
      </c>
      <c r="E361" s="89">
        <v>3813.6</v>
      </c>
    </row>
    <row r="362" spans="1:9" x14ac:dyDescent="0.2">
      <c r="A362" s="107" t="s">
        <v>581</v>
      </c>
      <c r="B362" s="108"/>
      <c r="C362" s="88">
        <v>17102</v>
      </c>
      <c r="D362" s="90"/>
      <c r="E362" s="90"/>
    </row>
    <row r="363" spans="1:9" x14ac:dyDescent="0.2">
      <c r="A363" s="103" t="s">
        <v>582</v>
      </c>
      <c r="B363" s="105"/>
      <c r="C363" s="100">
        <v>17109</v>
      </c>
      <c r="D363" s="101">
        <v>3965.4</v>
      </c>
      <c r="E363" s="101">
        <v>3813.6</v>
      </c>
    </row>
    <row r="364" spans="1:9" x14ac:dyDescent="0.2">
      <c r="A364" s="107" t="s">
        <v>583</v>
      </c>
      <c r="B364" s="108"/>
      <c r="C364" s="88">
        <v>17111</v>
      </c>
      <c r="D364" s="90"/>
      <c r="E364" s="90"/>
    </row>
    <row r="365" spans="1:9" ht="18" customHeight="1" x14ac:dyDescent="0.2">
      <c r="A365" s="107" t="s">
        <v>584</v>
      </c>
      <c r="B365" s="108"/>
      <c r="C365" s="88">
        <v>17112</v>
      </c>
      <c r="D365" s="88">
        <v>307.60000000000002</v>
      </c>
      <c r="E365" s="88">
        <v>696.6</v>
      </c>
    </row>
    <row r="366" spans="1:9" x14ac:dyDescent="0.2">
      <c r="A366" s="107" t="s">
        <v>585</v>
      </c>
      <c r="B366" s="108"/>
      <c r="C366" s="88">
        <v>17113</v>
      </c>
      <c r="D366" s="90"/>
      <c r="E366" s="90"/>
    </row>
    <row r="367" spans="1:9" x14ac:dyDescent="0.2">
      <c r="A367" s="107" t="s">
        <v>586</v>
      </c>
      <c r="B367" s="108"/>
      <c r="C367" s="88">
        <v>17114</v>
      </c>
      <c r="D367" s="90"/>
      <c r="E367" s="88">
        <v>13.9</v>
      </c>
    </row>
    <row r="368" spans="1:9" x14ac:dyDescent="0.2">
      <c r="A368" s="107" t="s">
        <v>18</v>
      </c>
      <c r="B368" s="108"/>
      <c r="C368" s="88">
        <v>17115</v>
      </c>
      <c r="D368" s="88">
        <v>459.4</v>
      </c>
      <c r="E368" s="88">
        <v>430.4</v>
      </c>
    </row>
    <row r="369" spans="1:5" x14ac:dyDescent="0.2">
      <c r="A369" s="103" t="s">
        <v>587</v>
      </c>
      <c r="B369" s="105"/>
      <c r="C369" s="100">
        <v>17119</v>
      </c>
      <c r="D369" s="101">
        <v>3813.6</v>
      </c>
      <c r="E369" s="101">
        <v>4065.9</v>
      </c>
    </row>
    <row r="370" spans="1:5" ht="18" customHeight="1" x14ac:dyDescent="0.2">
      <c r="A370" s="107" t="s">
        <v>588</v>
      </c>
      <c r="B370" s="108"/>
      <c r="C370" s="88">
        <v>17120</v>
      </c>
      <c r="D370" s="89">
        <v>3813.6</v>
      </c>
      <c r="E370" s="89">
        <v>4065.9</v>
      </c>
    </row>
    <row r="371" spans="1:5" x14ac:dyDescent="0.2">
      <c r="A371" s="109"/>
      <c r="B371" s="110"/>
      <c r="C371" s="110"/>
      <c r="D371" s="110"/>
      <c r="E371" s="111"/>
    </row>
    <row r="372" spans="1:5" x14ac:dyDescent="0.2">
      <c r="A372" s="103" t="s">
        <v>298</v>
      </c>
      <c r="B372" s="104"/>
      <c r="C372" s="105"/>
      <c r="D372" s="106">
        <v>2023</v>
      </c>
      <c r="E372" s="106">
        <v>2024</v>
      </c>
    </row>
    <row r="373" spans="1:5" x14ac:dyDescent="0.2">
      <c r="A373" s="107" t="s">
        <v>580</v>
      </c>
      <c r="B373" s="108"/>
      <c r="C373" s="88">
        <v>17201</v>
      </c>
      <c r="D373" s="90"/>
      <c r="E373" s="90"/>
    </row>
    <row r="374" spans="1:5" x14ac:dyDescent="0.2">
      <c r="A374" s="107" t="s">
        <v>581</v>
      </c>
      <c r="B374" s="108"/>
      <c r="C374" s="88">
        <v>17202</v>
      </c>
      <c r="D374" s="90"/>
      <c r="E374" s="90"/>
    </row>
    <row r="375" spans="1:5" x14ac:dyDescent="0.2">
      <c r="A375" s="103" t="s">
        <v>582</v>
      </c>
      <c r="B375" s="105"/>
      <c r="C375" s="100">
        <v>17209</v>
      </c>
      <c r="D375" s="102"/>
      <c r="E375" s="102"/>
    </row>
    <row r="376" spans="1:5" x14ac:dyDescent="0.2">
      <c r="A376" s="107" t="s">
        <v>589</v>
      </c>
      <c r="B376" s="108"/>
      <c r="C376" s="88">
        <v>17211</v>
      </c>
      <c r="D376" s="90"/>
      <c r="E376" s="90"/>
    </row>
    <row r="377" spans="1:5" x14ac:dyDescent="0.2">
      <c r="A377" s="107" t="s">
        <v>585</v>
      </c>
      <c r="B377" s="108"/>
      <c r="C377" s="88">
        <v>17212</v>
      </c>
      <c r="D377" s="90"/>
      <c r="E377" s="90"/>
    </row>
    <row r="378" spans="1:5" x14ac:dyDescent="0.2">
      <c r="A378" s="107" t="s">
        <v>586</v>
      </c>
      <c r="B378" s="108"/>
      <c r="C378" s="88">
        <v>17213</v>
      </c>
      <c r="D378" s="90"/>
      <c r="E378" s="90"/>
    </row>
    <row r="379" spans="1:5" x14ac:dyDescent="0.2">
      <c r="A379" s="107" t="s">
        <v>18</v>
      </c>
      <c r="B379" s="108"/>
      <c r="C379" s="88">
        <v>17214</v>
      </c>
      <c r="D379" s="90"/>
      <c r="E379" s="90"/>
    </row>
    <row r="380" spans="1:5" x14ac:dyDescent="0.2">
      <c r="A380" s="103" t="s">
        <v>587</v>
      </c>
      <c r="B380" s="105"/>
      <c r="C380" s="100">
        <v>17219</v>
      </c>
      <c r="D380" s="102"/>
      <c r="E380" s="102"/>
    </row>
    <row r="381" spans="1:5" x14ac:dyDescent="0.2">
      <c r="A381" s="107" t="s">
        <v>590</v>
      </c>
      <c r="B381" s="108"/>
      <c r="C381" s="88">
        <v>17220</v>
      </c>
      <c r="D381" s="90"/>
      <c r="E381" s="90"/>
    </row>
    <row r="382" spans="1:5" x14ac:dyDescent="0.2">
      <c r="A382" s="109"/>
      <c r="B382" s="110"/>
      <c r="C382" s="110"/>
      <c r="D382" s="110"/>
      <c r="E382" s="111"/>
    </row>
    <row r="383" spans="1:5" x14ac:dyDescent="0.2">
      <c r="A383" s="103" t="s">
        <v>307</v>
      </c>
      <c r="B383" s="104"/>
      <c r="C383" s="105"/>
      <c r="D383" s="106">
        <v>2023</v>
      </c>
      <c r="E383" s="106">
        <v>2024</v>
      </c>
    </row>
    <row r="384" spans="1:5" x14ac:dyDescent="0.2">
      <c r="A384" s="107" t="s">
        <v>580</v>
      </c>
      <c r="B384" s="108"/>
      <c r="C384" s="88">
        <v>17301</v>
      </c>
      <c r="D384" s="88">
        <v>141.30000000000001</v>
      </c>
      <c r="E384" s="88">
        <v>95.9</v>
      </c>
    </row>
    <row r="385" spans="1:5" x14ac:dyDescent="0.2">
      <c r="A385" s="107" t="s">
        <v>581</v>
      </c>
      <c r="B385" s="108"/>
      <c r="C385" s="88">
        <v>17302</v>
      </c>
      <c r="D385" s="88">
        <v>-19.3</v>
      </c>
      <c r="E385" s="90"/>
    </row>
    <row r="386" spans="1:5" x14ac:dyDescent="0.2">
      <c r="A386" s="103" t="s">
        <v>582</v>
      </c>
      <c r="B386" s="105"/>
      <c r="C386" s="100">
        <v>17309</v>
      </c>
      <c r="D386" s="100">
        <v>122</v>
      </c>
      <c r="E386" s="100">
        <v>95.9</v>
      </c>
    </row>
    <row r="387" spans="1:5" x14ac:dyDescent="0.2">
      <c r="A387" s="107" t="s">
        <v>591</v>
      </c>
      <c r="B387" s="108"/>
      <c r="C387" s="88">
        <v>17311</v>
      </c>
      <c r="D387" s="90"/>
      <c r="E387" s="90"/>
    </row>
    <row r="388" spans="1:5" x14ac:dyDescent="0.2">
      <c r="A388" s="107" t="s">
        <v>592</v>
      </c>
      <c r="B388" s="108"/>
      <c r="C388" s="88">
        <v>17312</v>
      </c>
      <c r="D388" s="90"/>
      <c r="E388" s="90"/>
    </row>
    <row r="389" spans="1:5" x14ac:dyDescent="0.2">
      <c r="A389" s="107" t="s">
        <v>593</v>
      </c>
      <c r="B389" s="108"/>
      <c r="C389" s="88">
        <v>17313</v>
      </c>
      <c r="D389" s="88">
        <v>51</v>
      </c>
      <c r="E389" s="88">
        <v>46.4</v>
      </c>
    </row>
    <row r="390" spans="1:5" x14ac:dyDescent="0.2">
      <c r="A390" s="107" t="s">
        <v>594</v>
      </c>
      <c r="B390" s="108"/>
      <c r="C390" s="88">
        <v>17314</v>
      </c>
      <c r="D390" s="90"/>
      <c r="E390" s="90"/>
    </row>
    <row r="391" spans="1:5" x14ac:dyDescent="0.2">
      <c r="A391" s="107" t="s">
        <v>595</v>
      </c>
      <c r="B391" s="108"/>
      <c r="C391" s="88">
        <v>17315</v>
      </c>
      <c r="D391" s="88">
        <v>51</v>
      </c>
      <c r="E391" s="88">
        <v>91.8</v>
      </c>
    </row>
    <row r="392" spans="1:5" x14ac:dyDescent="0.2">
      <c r="A392" s="107" t="s">
        <v>596</v>
      </c>
      <c r="B392" s="108"/>
      <c r="C392" s="88">
        <v>17316</v>
      </c>
      <c r="D392" s="90"/>
      <c r="E392" s="90"/>
    </row>
    <row r="393" spans="1:5" x14ac:dyDescent="0.2">
      <c r="A393" s="107" t="s">
        <v>597</v>
      </c>
      <c r="B393" s="108"/>
      <c r="C393" s="88">
        <v>17317</v>
      </c>
      <c r="D393" s="90"/>
      <c r="E393" s="90"/>
    </row>
    <row r="394" spans="1:5" x14ac:dyDescent="0.2">
      <c r="A394" s="107" t="s">
        <v>598</v>
      </c>
      <c r="B394" s="108"/>
      <c r="C394" s="88">
        <v>17318</v>
      </c>
      <c r="D394" s="88">
        <v>26.1</v>
      </c>
      <c r="E394" s="88">
        <v>41.3</v>
      </c>
    </row>
    <row r="395" spans="1:5" x14ac:dyDescent="0.2">
      <c r="A395" s="107" t="s">
        <v>599</v>
      </c>
      <c r="B395" s="108"/>
      <c r="C395" s="88">
        <v>17320</v>
      </c>
      <c r="D395" s="90"/>
      <c r="E395" s="90"/>
    </row>
    <row r="396" spans="1:5" x14ac:dyDescent="0.2">
      <c r="A396" s="103" t="s">
        <v>587</v>
      </c>
      <c r="B396" s="105"/>
      <c r="C396" s="100">
        <v>17329</v>
      </c>
      <c r="D396" s="100">
        <v>95.9</v>
      </c>
      <c r="E396" s="100">
        <v>100</v>
      </c>
    </row>
    <row r="397" spans="1:5" x14ac:dyDescent="0.2">
      <c r="A397" s="107" t="s">
        <v>600</v>
      </c>
      <c r="B397" s="108"/>
      <c r="C397" s="88">
        <v>17330</v>
      </c>
      <c r="D397" s="88">
        <v>95.9</v>
      </c>
      <c r="E397" s="88">
        <v>100</v>
      </c>
    </row>
    <row r="398" spans="1:5" ht="16" x14ac:dyDescent="0.2">
      <c r="A398" s="57"/>
    </row>
    <row r="399" spans="1:5" ht="16" x14ac:dyDescent="0.2">
      <c r="A399" s="57"/>
    </row>
    <row r="400" spans="1:5" ht="16" x14ac:dyDescent="0.2">
      <c r="A400" s="57" t="s">
        <v>601</v>
      </c>
    </row>
    <row r="401" spans="1:5" x14ac:dyDescent="0.2">
      <c r="A401" s="103" t="s">
        <v>601</v>
      </c>
      <c r="B401" s="104"/>
      <c r="C401" s="105"/>
      <c r="D401" s="106">
        <v>2023</v>
      </c>
      <c r="E401" s="106">
        <v>2024</v>
      </c>
    </row>
    <row r="402" spans="1:5" x14ac:dyDescent="0.2">
      <c r="A402" s="107" t="s">
        <v>602</v>
      </c>
      <c r="B402" s="108"/>
      <c r="C402" s="88">
        <v>19101</v>
      </c>
      <c r="D402" s="90"/>
      <c r="E402" s="90"/>
    </row>
    <row r="403" spans="1:5" x14ac:dyDescent="0.2">
      <c r="A403" s="107" t="s">
        <v>603</v>
      </c>
      <c r="B403" s="108"/>
      <c r="C403" s="88">
        <v>19102</v>
      </c>
      <c r="D403" s="90"/>
      <c r="E403" s="90"/>
    </row>
    <row r="404" spans="1:5" x14ac:dyDescent="0.2">
      <c r="A404" s="107" t="s">
        <v>604</v>
      </c>
      <c r="B404" s="108"/>
      <c r="C404" s="88">
        <v>19103</v>
      </c>
      <c r="D404" s="90"/>
      <c r="E404" s="90"/>
    </row>
    <row r="405" spans="1:5" x14ac:dyDescent="0.2">
      <c r="A405" s="107" t="s">
        <v>605</v>
      </c>
      <c r="B405" s="108"/>
      <c r="C405" s="88">
        <v>19104</v>
      </c>
      <c r="D405" s="90"/>
      <c r="E405" s="90"/>
    </row>
    <row r="406" spans="1:5" x14ac:dyDescent="0.2">
      <c r="A406" s="107" t="s">
        <v>606</v>
      </c>
      <c r="B406" s="108"/>
      <c r="C406" s="88">
        <v>19105</v>
      </c>
      <c r="D406" s="90"/>
      <c r="E406" s="90"/>
    </row>
    <row r="407" spans="1:5" x14ac:dyDescent="0.2">
      <c r="A407" s="107" t="s">
        <v>607</v>
      </c>
      <c r="B407" s="108"/>
      <c r="C407" s="88">
        <v>19106</v>
      </c>
      <c r="D407" s="90"/>
      <c r="E407" s="90"/>
    </row>
    <row r="408" spans="1:5" x14ac:dyDescent="0.2">
      <c r="A408" s="107" t="s">
        <v>608</v>
      </c>
      <c r="B408" s="108"/>
      <c r="C408" s="88">
        <v>19107</v>
      </c>
      <c r="D408" s="90"/>
      <c r="E408" s="90"/>
    </row>
    <row r="409" spans="1:5" x14ac:dyDescent="0.2">
      <c r="A409" s="107" t="s">
        <v>609</v>
      </c>
      <c r="B409" s="108"/>
      <c r="C409" s="88">
        <v>19108</v>
      </c>
      <c r="D409" s="90"/>
      <c r="E409" s="90"/>
    </row>
    <row r="410" spans="1:5" x14ac:dyDescent="0.2">
      <c r="A410" s="107" t="s">
        <v>610</v>
      </c>
      <c r="B410" s="108"/>
      <c r="C410" s="88">
        <v>19110</v>
      </c>
      <c r="D410" s="90"/>
      <c r="E410" s="90"/>
    </row>
    <row r="411" spans="1:5" x14ac:dyDescent="0.2">
      <c r="A411" s="107" t="s">
        <v>611</v>
      </c>
      <c r="B411" s="108"/>
      <c r="C411" s="88">
        <v>19111</v>
      </c>
      <c r="D411" s="90"/>
      <c r="E411" s="90"/>
    </row>
    <row r="412" spans="1:5" x14ac:dyDescent="0.2">
      <c r="A412" s="107" t="s">
        <v>612</v>
      </c>
      <c r="B412" s="108"/>
      <c r="C412" s="88">
        <v>19112</v>
      </c>
      <c r="D412" s="90"/>
      <c r="E412" s="90"/>
    </row>
    <row r="413" spans="1:5" x14ac:dyDescent="0.2">
      <c r="A413" s="107" t="s">
        <v>613</v>
      </c>
      <c r="B413" s="108"/>
      <c r="C413" s="88">
        <v>19113</v>
      </c>
      <c r="D413" s="90"/>
      <c r="E413" s="90"/>
    </row>
    <row r="414" spans="1:5" x14ac:dyDescent="0.2">
      <c r="A414" s="107" t="s">
        <v>614</v>
      </c>
      <c r="B414" s="108"/>
      <c r="C414" s="88">
        <v>19114</v>
      </c>
      <c r="D414" s="90"/>
      <c r="E414" s="90"/>
    </row>
    <row r="415" spans="1:5" x14ac:dyDescent="0.2">
      <c r="A415" s="107" t="s">
        <v>615</v>
      </c>
      <c r="B415" s="108"/>
      <c r="C415" s="88">
        <v>19115</v>
      </c>
      <c r="D415" s="90"/>
      <c r="E415" s="90"/>
    </row>
    <row r="416" spans="1:5" x14ac:dyDescent="0.2">
      <c r="A416" s="107" t="s">
        <v>616</v>
      </c>
      <c r="B416" s="108"/>
      <c r="C416" s="88">
        <v>19116</v>
      </c>
      <c r="D416" s="90"/>
      <c r="E416" s="90"/>
    </row>
    <row r="417" spans="1:5" x14ac:dyDescent="0.2">
      <c r="A417" s="107" t="s">
        <v>617</v>
      </c>
      <c r="B417" s="108"/>
      <c r="C417" s="88">
        <v>19131</v>
      </c>
      <c r="D417" s="90"/>
      <c r="E417" s="90"/>
    </row>
    <row r="418" spans="1:5" x14ac:dyDescent="0.2">
      <c r="A418" s="107" t="s">
        <v>618</v>
      </c>
      <c r="B418" s="108"/>
      <c r="C418" s="88">
        <v>19132</v>
      </c>
      <c r="D418" s="90"/>
      <c r="E418" s="90"/>
    </row>
    <row r="419" spans="1:5" x14ac:dyDescent="0.2">
      <c r="A419" s="107" t="s">
        <v>619</v>
      </c>
      <c r="B419" s="108"/>
      <c r="C419" s="88">
        <v>19133</v>
      </c>
      <c r="D419" s="90"/>
      <c r="E419" s="90"/>
    </row>
    <row r="420" spans="1:5" x14ac:dyDescent="0.2">
      <c r="A420" s="107" t="s">
        <v>620</v>
      </c>
      <c r="B420" s="108"/>
      <c r="C420" s="88">
        <v>19134</v>
      </c>
      <c r="D420" s="90"/>
      <c r="E420" s="90"/>
    </row>
    <row r="421" spans="1:5" x14ac:dyDescent="0.2">
      <c r="A421" s="107" t="s">
        <v>316</v>
      </c>
      <c r="B421" s="108"/>
      <c r="C421" s="88">
        <v>19160</v>
      </c>
      <c r="D421" s="90"/>
      <c r="E421" s="90"/>
    </row>
    <row r="422" spans="1:5" x14ac:dyDescent="0.2">
      <c r="A422" s="107" t="s">
        <v>621</v>
      </c>
      <c r="B422" s="108"/>
      <c r="C422" s="88">
        <v>19151</v>
      </c>
      <c r="D422" s="90"/>
      <c r="E422" s="90"/>
    </row>
    <row r="423" spans="1:5" x14ac:dyDescent="0.2">
      <c r="A423" s="107" t="s">
        <v>317</v>
      </c>
      <c r="B423" s="108"/>
      <c r="C423" s="88">
        <v>19161</v>
      </c>
      <c r="D423" s="90"/>
      <c r="E423" s="90"/>
    </row>
    <row r="424" spans="1:5" x14ac:dyDescent="0.2">
      <c r="A424" s="107" t="s">
        <v>622</v>
      </c>
      <c r="B424" s="108"/>
      <c r="C424" s="88">
        <v>19153</v>
      </c>
      <c r="D424" s="90"/>
      <c r="E424" s="90"/>
    </row>
    <row r="425" spans="1:5" x14ac:dyDescent="0.2">
      <c r="A425" s="107" t="s">
        <v>623</v>
      </c>
      <c r="B425" s="108"/>
      <c r="C425" s="88">
        <v>19154</v>
      </c>
      <c r="D425" s="90"/>
      <c r="E425" s="90"/>
    </row>
    <row r="426" spans="1:5" x14ac:dyDescent="0.2">
      <c r="A426" s="107" t="s">
        <v>624</v>
      </c>
      <c r="B426" s="108"/>
      <c r="C426" s="88">
        <v>19155</v>
      </c>
      <c r="D426" s="90"/>
      <c r="E426" s="90"/>
    </row>
    <row r="427" spans="1:5" x14ac:dyDescent="0.2">
      <c r="A427" s="107" t="s">
        <v>625</v>
      </c>
      <c r="B427" s="108"/>
      <c r="C427" s="88">
        <v>19156</v>
      </c>
      <c r="D427" s="90"/>
      <c r="E427" s="90"/>
    </row>
    <row r="428" spans="1:5" x14ac:dyDescent="0.2">
      <c r="A428" s="107" t="s">
        <v>318</v>
      </c>
      <c r="B428" s="108"/>
      <c r="C428" s="88">
        <v>19157</v>
      </c>
      <c r="D428" s="90"/>
      <c r="E428" s="90"/>
    </row>
    <row r="429" spans="1:5" x14ac:dyDescent="0.2">
      <c r="A429" s="107" t="s">
        <v>626</v>
      </c>
      <c r="B429" s="108"/>
      <c r="C429" s="88">
        <v>19158</v>
      </c>
      <c r="D429" s="90"/>
      <c r="E429" s="90"/>
    </row>
    <row r="430" spans="1:5" x14ac:dyDescent="0.2">
      <c r="A430" s="107" t="s">
        <v>627</v>
      </c>
      <c r="B430" s="108"/>
      <c r="C430" s="88">
        <v>19171</v>
      </c>
      <c r="D430" s="90"/>
      <c r="E430" s="88">
        <v>27</v>
      </c>
    </row>
    <row r="431" spans="1:5" x14ac:dyDescent="0.2">
      <c r="A431" s="107" t="s">
        <v>628</v>
      </c>
      <c r="B431" s="108"/>
      <c r="C431" s="88">
        <v>19172</v>
      </c>
      <c r="D431" s="90"/>
      <c r="E431" s="88">
        <v>159.30000000000001</v>
      </c>
    </row>
    <row r="432" spans="1:5" x14ac:dyDescent="0.2">
      <c r="A432" s="107" t="s">
        <v>629</v>
      </c>
      <c r="B432" s="108"/>
      <c r="C432" s="88">
        <v>19181</v>
      </c>
      <c r="D432" s="90"/>
      <c r="E432" s="90"/>
    </row>
    <row r="433" spans="1:5" x14ac:dyDescent="0.2">
      <c r="A433" s="107" t="s">
        <v>630</v>
      </c>
      <c r="B433" s="108"/>
      <c r="C433" s="88">
        <v>19182</v>
      </c>
      <c r="D433" s="90"/>
      <c r="E433" s="90"/>
    </row>
    <row r="434" spans="1:5" ht="16" x14ac:dyDescent="0.2">
      <c r="A434" s="57"/>
    </row>
    <row r="435" spans="1:5" ht="16" x14ac:dyDescent="0.2">
      <c r="A435" s="57"/>
    </row>
    <row r="436" spans="1:5" ht="16" x14ac:dyDescent="0.2">
      <c r="A436" s="57" t="s">
        <v>631</v>
      </c>
    </row>
    <row r="437" spans="1:5" x14ac:dyDescent="0.2">
      <c r="A437" s="103" t="s">
        <v>631</v>
      </c>
      <c r="B437" s="104"/>
      <c r="C437" s="105"/>
      <c r="D437" s="106">
        <v>2023</v>
      </c>
      <c r="E437" s="106">
        <v>2024</v>
      </c>
    </row>
    <row r="438" spans="1:5" x14ac:dyDescent="0.2">
      <c r="A438" s="107" t="s">
        <v>632</v>
      </c>
      <c r="B438" s="108"/>
      <c r="C438" s="88">
        <v>19501</v>
      </c>
      <c r="D438" s="90"/>
      <c r="E438" s="90"/>
    </row>
    <row r="439" spans="1:5" x14ac:dyDescent="0.2">
      <c r="A439" s="107" t="s">
        <v>633</v>
      </c>
      <c r="B439" s="108"/>
      <c r="C439" s="88">
        <v>19502</v>
      </c>
      <c r="D439" s="90"/>
      <c r="E439" s="90"/>
    </row>
    <row r="440" spans="1:5" x14ac:dyDescent="0.2">
      <c r="A440" s="107" t="s">
        <v>634</v>
      </c>
      <c r="B440" s="108"/>
      <c r="C440" s="88">
        <v>19503</v>
      </c>
      <c r="D440" s="90"/>
      <c r="E440" s="90"/>
    </row>
    <row r="441" spans="1:5" x14ac:dyDescent="0.2">
      <c r="A441" s="107" t="s">
        <v>635</v>
      </c>
      <c r="B441" s="108"/>
      <c r="C441" s="88">
        <v>19504</v>
      </c>
      <c r="D441" s="90"/>
      <c r="E441" s="90"/>
    </row>
    <row r="442" spans="1:5" x14ac:dyDescent="0.2">
      <c r="A442" s="103" t="s">
        <v>636</v>
      </c>
      <c r="B442" s="105"/>
      <c r="C442" s="100">
        <v>19505</v>
      </c>
      <c r="D442" s="102"/>
      <c r="E442" s="102"/>
    </row>
    <row r="443" spans="1:5" x14ac:dyDescent="0.2">
      <c r="A443" s="107" t="s">
        <v>637</v>
      </c>
      <c r="B443" s="108"/>
      <c r="C443" s="88">
        <v>19506</v>
      </c>
      <c r="D443" s="90"/>
      <c r="E443" s="90"/>
    </row>
    <row r="444" spans="1:5" x14ac:dyDescent="0.2">
      <c r="A444" s="107" t="s">
        <v>638</v>
      </c>
      <c r="B444" s="108"/>
      <c r="C444" s="88">
        <v>19507</v>
      </c>
      <c r="D444" s="90"/>
      <c r="E444" s="90"/>
    </row>
    <row r="445" spans="1:5" x14ac:dyDescent="0.2">
      <c r="A445" s="103" t="s">
        <v>639</v>
      </c>
      <c r="B445" s="105"/>
      <c r="C445" s="100">
        <v>19508</v>
      </c>
      <c r="D445" s="102"/>
      <c r="E445" s="102"/>
    </row>
    <row r="446" spans="1:5" x14ac:dyDescent="0.2">
      <c r="A446" s="107" t="s">
        <v>615</v>
      </c>
      <c r="B446" s="108"/>
      <c r="C446" s="88">
        <v>19510</v>
      </c>
      <c r="D446" s="90"/>
      <c r="E446" s="90"/>
    </row>
    <row r="447" spans="1:5" x14ac:dyDescent="0.2">
      <c r="A447" s="107" t="s">
        <v>616</v>
      </c>
      <c r="B447" s="108"/>
      <c r="C447" s="88">
        <v>19511</v>
      </c>
      <c r="D447" s="90"/>
      <c r="E447" s="90"/>
    </row>
    <row r="448" spans="1:5" ht="16" x14ac:dyDescent="0.2">
      <c r="A448" s="57"/>
    </row>
    <row r="449" spans="1:9" ht="16" x14ac:dyDescent="0.2">
      <c r="A449" s="57"/>
    </row>
    <row r="450" spans="1:9" ht="16" x14ac:dyDescent="0.2">
      <c r="A450" s="57" t="s">
        <v>640</v>
      </c>
    </row>
    <row r="451" spans="1:9" x14ac:dyDescent="0.2">
      <c r="A451" s="112"/>
    </row>
    <row r="452" spans="1:9" ht="16" x14ac:dyDescent="0.2">
      <c r="A452" s="57"/>
    </row>
    <row r="453" spans="1:9" ht="16" x14ac:dyDescent="0.2">
      <c r="A453" s="57"/>
    </row>
    <row r="454" spans="1:9" ht="16" x14ac:dyDescent="0.2">
      <c r="A454" s="57" t="s">
        <v>641</v>
      </c>
    </row>
    <row r="455" spans="1:9" x14ac:dyDescent="0.2">
      <c r="A455" s="72"/>
      <c r="B455" s="113"/>
      <c r="C455" s="113"/>
      <c r="D455" s="73"/>
      <c r="E455" s="77" t="s">
        <v>253</v>
      </c>
      <c r="F455" s="77" t="s">
        <v>253</v>
      </c>
      <c r="G455" s="76" t="s">
        <v>292</v>
      </c>
      <c r="H455" s="114" t="s">
        <v>293</v>
      </c>
      <c r="I455" s="76" t="s">
        <v>322</v>
      </c>
    </row>
    <row r="456" spans="1:9" x14ac:dyDescent="0.2">
      <c r="A456" s="78"/>
      <c r="B456" s="115"/>
      <c r="C456" s="115"/>
      <c r="D456" s="79"/>
      <c r="E456" s="83">
        <v>2023</v>
      </c>
      <c r="F456" s="83">
        <v>2024</v>
      </c>
      <c r="G456" s="82"/>
      <c r="H456" s="83">
        <v>2024</v>
      </c>
      <c r="I456" s="82"/>
    </row>
    <row r="457" spans="1:9" x14ac:dyDescent="0.2">
      <c r="A457" s="84"/>
      <c r="B457" s="116"/>
      <c r="C457" s="116"/>
      <c r="D457" s="85"/>
      <c r="E457" s="117"/>
      <c r="F457" s="117"/>
      <c r="G457" s="86" t="s">
        <v>295</v>
      </c>
      <c r="H457" s="118"/>
      <c r="I457" s="86" t="s">
        <v>295</v>
      </c>
    </row>
    <row r="458" spans="1:9" x14ac:dyDescent="0.2">
      <c r="A458" s="119" t="s">
        <v>642</v>
      </c>
      <c r="B458" s="120"/>
      <c r="C458" s="120"/>
      <c r="D458" s="120"/>
      <c r="E458" s="120"/>
      <c r="F458" s="120"/>
      <c r="G458" s="120"/>
      <c r="H458" s="120"/>
      <c r="I458" s="121"/>
    </row>
    <row r="459" spans="1:9" x14ac:dyDescent="0.2">
      <c r="A459" s="122"/>
      <c r="B459" s="123"/>
      <c r="C459" s="123"/>
      <c r="D459" s="123"/>
      <c r="E459" s="123"/>
      <c r="F459" s="123"/>
      <c r="G459" s="123"/>
      <c r="H459" s="123"/>
      <c r="I459" s="124"/>
    </row>
    <row r="460" spans="1:9" x14ac:dyDescent="0.2">
      <c r="A460" s="107" t="s">
        <v>643</v>
      </c>
      <c r="B460" s="108"/>
      <c r="C460" s="107" t="s">
        <v>644</v>
      </c>
      <c r="D460" s="108"/>
      <c r="E460" s="88">
        <v>12.2</v>
      </c>
      <c r="F460" s="88">
        <v>13.8</v>
      </c>
      <c r="G460" s="88">
        <v>13.1</v>
      </c>
      <c r="H460" s="88">
        <v>6.5</v>
      </c>
      <c r="I460" s="88">
        <v>114.1</v>
      </c>
    </row>
    <row r="461" spans="1:9" x14ac:dyDescent="0.2">
      <c r="A461" s="107" t="s">
        <v>645</v>
      </c>
      <c r="B461" s="108"/>
      <c r="C461" s="107" t="s">
        <v>646</v>
      </c>
      <c r="D461" s="108"/>
      <c r="E461" s="88">
        <v>14.9</v>
      </c>
      <c r="F461" s="125">
        <v>16.3</v>
      </c>
      <c r="G461" s="88">
        <v>9.5</v>
      </c>
      <c r="H461" s="125">
        <v>7.6</v>
      </c>
      <c r="I461" s="88">
        <v>114.1</v>
      </c>
    </row>
    <row r="462" spans="1:9" ht="18" customHeight="1" x14ac:dyDescent="0.2">
      <c r="A462" s="107" t="s">
        <v>647</v>
      </c>
      <c r="B462" s="108"/>
      <c r="C462" s="107" t="s">
        <v>648</v>
      </c>
      <c r="D462" s="108"/>
      <c r="E462" s="88">
        <v>29.2</v>
      </c>
      <c r="F462" s="88">
        <v>151.30000000000001</v>
      </c>
      <c r="G462" s="88">
        <v>418.2</v>
      </c>
      <c r="H462" s="88">
        <v>28.4</v>
      </c>
      <c r="I462" s="88">
        <v>433.7</v>
      </c>
    </row>
    <row r="463" spans="1:9" x14ac:dyDescent="0.2">
      <c r="A463" s="107" t="s">
        <v>649</v>
      </c>
      <c r="B463" s="108"/>
      <c r="C463" s="107" t="s">
        <v>650</v>
      </c>
      <c r="D463" s="108"/>
      <c r="E463" s="88">
        <v>2.8</v>
      </c>
      <c r="F463" s="125">
        <v>5.2</v>
      </c>
      <c r="G463" s="88">
        <v>86.9</v>
      </c>
      <c r="H463" s="125">
        <v>8.4</v>
      </c>
      <c r="I463" s="88">
        <v>-37.700000000000003</v>
      </c>
    </row>
    <row r="464" spans="1:9" x14ac:dyDescent="0.2">
      <c r="A464" s="107" t="s">
        <v>651</v>
      </c>
      <c r="B464" s="108"/>
      <c r="C464" s="107" t="s">
        <v>652</v>
      </c>
      <c r="D464" s="108"/>
      <c r="E464" s="88">
        <v>1.1000000000000001</v>
      </c>
      <c r="F464" s="88">
        <v>1.9</v>
      </c>
      <c r="G464" s="88">
        <v>76</v>
      </c>
      <c r="H464" s="88">
        <v>6.3</v>
      </c>
      <c r="I464" s="88">
        <v>-70</v>
      </c>
    </row>
    <row r="465" spans="1:9" x14ac:dyDescent="0.2">
      <c r="A465" s="107" t="s">
        <v>653</v>
      </c>
      <c r="B465" s="108"/>
      <c r="C465" s="107" t="s">
        <v>654</v>
      </c>
      <c r="D465" s="108"/>
      <c r="E465" s="88">
        <v>0.7</v>
      </c>
      <c r="F465" s="88">
        <v>3.6</v>
      </c>
      <c r="G465" s="88">
        <v>410.9</v>
      </c>
      <c r="H465" s="90"/>
      <c r="I465" s="90"/>
    </row>
    <row r="466" spans="1:9" ht="18" customHeight="1" x14ac:dyDescent="0.2">
      <c r="A466" s="107" t="s">
        <v>655</v>
      </c>
      <c r="B466" s="108"/>
      <c r="C466" s="107" t="s">
        <v>656</v>
      </c>
      <c r="D466" s="108"/>
      <c r="E466" s="88">
        <v>5.6</v>
      </c>
      <c r="F466" s="88">
        <v>6.7</v>
      </c>
      <c r="G466" s="88">
        <v>18.100000000000001</v>
      </c>
      <c r="H466" s="88">
        <v>10.6</v>
      </c>
      <c r="I466" s="88">
        <v>-36.799999999999997</v>
      </c>
    </row>
    <row r="467" spans="1:9" x14ac:dyDescent="0.2">
      <c r="A467" s="119" t="s">
        <v>657</v>
      </c>
      <c r="B467" s="120"/>
      <c r="C467" s="120"/>
      <c r="D467" s="120"/>
      <c r="E467" s="120"/>
      <c r="F467" s="120"/>
      <c r="G467" s="120"/>
      <c r="H467" s="120"/>
      <c r="I467" s="121"/>
    </row>
    <row r="468" spans="1:9" x14ac:dyDescent="0.2">
      <c r="A468" s="122"/>
      <c r="B468" s="123"/>
      <c r="C468" s="123"/>
      <c r="D468" s="123"/>
      <c r="E468" s="123"/>
      <c r="F468" s="123"/>
      <c r="G468" s="123"/>
      <c r="H468" s="123"/>
      <c r="I468" s="124"/>
    </row>
    <row r="469" spans="1:9" x14ac:dyDescent="0.2">
      <c r="A469" s="107" t="s">
        <v>658</v>
      </c>
      <c r="B469" s="108"/>
      <c r="C469" s="107" t="s">
        <v>659</v>
      </c>
      <c r="D469" s="108"/>
      <c r="E469" s="88">
        <v>85.2</v>
      </c>
      <c r="F469" s="88">
        <v>46.4</v>
      </c>
      <c r="G469" s="88">
        <v>-45.5</v>
      </c>
      <c r="H469" s="88">
        <v>38.1</v>
      </c>
      <c r="I469" s="88">
        <v>21.8</v>
      </c>
    </row>
    <row r="470" spans="1:9" x14ac:dyDescent="0.2">
      <c r="A470" s="107" t="s">
        <v>660</v>
      </c>
      <c r="B470" s="108"/>
      <c r="C470" s="107" t="s">
        <v>661</v>
      </c>
      <c r="D470" s="108"/>
      <c r="E470" s="88">
        <v>83.4</v>
      </c>
      <c r="F470" s="88">
        <v>73.599999999999994</v>
      </c>
      <c r="G470" s="88">
        <v>-11.7</v>
      </c>
      <c r="H470" s="88">
        <v>34.799999999999997</v>
      </c>
      <c r="I470" s="88">
        <v>111.8</v>
      </c>
    </row>
    <row r="471" spans="1:9" x14ac:dyDescent="0.2">
      <c r="A471" s="107" t="s">
        <v>662</v>
      </c>
      <c r="B471" s="108"/>
      <c r="C471" s="107" t="s">
        <v>663</v>
      </c>
      <c r="D471" s="108"/>
      <c r="E471" s="88">
        <v>11.9</v>
      </c>
      <c r="F471" s="88">
        <v>36.299999999999997</v>
      </c>
      <c r="G471" s="88">
        <v>205.4</v>
      </c>
      <c r="H471" s="88">
        <v>172.2</v>
      </c>
      <c r="I471" s="88">
        <v>-78.900000000000006</v>
      </c>
    </row>
    <row r="472" spans="1:9" x14ac:dyDescent="0.2">
      <c r="A472" s="107" t="s">
        <v>664</v>
      </c>
      <c r="B472" s="108"/>
      <c r="C472" s="107" t="s">
        <v>665</v>
      </c>
      <c r="D472" s="108"/>
      <c r="E472" s="88">
        <v>2.9</v>
      </c>
      <c r="F472" s="88">
        <v>6.1</v>
      </c>
      <c r="G472" s="88">
        <v>114.6</v>
      </c>
      <c r="H472" s="90"/>
      <c r="I472" s="90"/>
    </row>
    <row r="473" spans="1:9" x14ac:dyDescent="0.2">
      <c r="A473" s="107" t="s">
        <v>666</v>
      </c>
      <c r="B473" s="108"/>
      <c r="C473" s="107" t="s">
        <v>667</v>
      </c>
      <c r="D473" s="108"/>
      <c r="E473" s="88">
        <v>97.1</v>
      </c>
      <c r="F473" s="88">
        <v>116.4</v>
      </c>
      <c r="G473" s="88">
        <v>19.899999999999999</v>
      </c>
      <c r="H473" s="90"/>
      <c r="I473" s="90"/>
    </row>
    <row r="474" spans="1:9" x14ac:dyDescent="0.2">
      <c r="A474" s="107" t="s">
        <v>668</v>
      </c>
      <c r="B474" s="108"/>
      <c r="C474" s="107" t="s">
        <v>669</v>
      </c>
      <c r="D474" s="108"/>
      <c r="E474" s="88">
        <v>101.6</v>
      </c>
      <c r="F474" s="88">
        <v>135.19999999999999</v>
      </c>
      <c r="G474" s="88">
        <v>33.1</v>
      </c>
      <c r="H474" s="90"/>
      <c r="I474" s="90"/>
    </row>
    <row r="475" spans="1:9" x14ac:dyDescent="0.2">
      <c r="A475" s="107" t="s">
        <v>670</v>
      </c>
      <c r="B475" s="108"/>
      <c r="C475" s="107" t="s">
        <v>671</v>
      </c>
      <c r="D475" s="108"/>
      <c r="E475" s="88">
        <v>11.9</v>
      </c>
      <c r="F475" s="88">
        <v>36.299999999999997</v>
      </c>
      <c r="G475" s="88">
        <v>205.4</v>
      </c>
      <c r="H475" s="88">
        <v>173.2</v>
      </c>
      <c r="I475" s="88">
        <v>-79</v>
      </c>
    </row>
    <row r="476" spans="1:9" ht="18" customHeight="1" x14ac:dyDescent="0.2">
      <c r="A476" s="107" t="s">
        <v>672</v>
      </c>
      <c r="B476" s="108"/>
      <c r="C476" s="107" t="s">
        <v>673</v>
      </c>
      <c r="D476" s="108"/>
      <c r="E476" s="88">
        <v>-834.2</v>
      </c>
      <c r="F476" s="88">
        <v>457.1</v>
      </c>
      <c r="G476" s="88">
        <v>154.80000000000001</v>
      </c>
      <c r="H476" s="90"/>
      <c r="I476" s="90"/>
    </row>
    <row r="477" spans="1:9" ht="18" customHeight="1" x14ac:dyDescent="0.2">
      <c r="A477" s="107" t="s">
        <v>674</v>
      </c>
      <c r="B477" s="108"/>
      <c r="C477" s="107" t="s">
        <v>675</v>
      </c>
      <c r="D477" s="108"/>
      <c r="E477" s="88">
        <v>287.60000000000002</v>
      </c>
      <c r="F477" s="88">
        <v>-28.3</v>
      </c>
      <c r="G477" s="88">
        <v>-109.9</v>
      </c>
      <c r="H477" s="90"/>
      <c r="I477" s="90"/>
    </row>
    <row r="478" spans="1:9" ht="18" customHeight="1" x14ac:dyDescent="0.2">
      <c r="A478" s="107" t="s">
        <v>676</v>
      </c>
      <c r="B478" s="108"/>
      <c r="C478" s="107" t="s">
        <v>677</v>
      </c>
      <c r="D478" s="108"/>
      <c r="E478" s="88">
        <v>-41</v>
      </c>
      <c r="F478" s="88">
        <v>-71.099999999999994</v>
      </c>
      <c r="G478" s="88">
        <v>-73.400000000000006</v>
      </c>
      <c r="H478" s="90"/>
      <c r="I478" s="90"/>
    </row>
    <row r="479" spans="1:9" x14ac:dyDescent="0.2">
      <c r="A479" s="107" t="s">
        <v>678</v>
      </c>
      <c r="B479" s="108"/>
      <c r="C479" s="107" t="s">
        <v>679</v>
      </c>
      <c r="D479" s="108"/>
      <c r="E479" s="88">
        <v>13.7</v>
      </c>
      <c r="F479" s="88">
        <v>9.1</v>
      </c>
      <c r="G479" s="88">
        <v>-33.799999999999997</v>
      </c>
      <c r="H479" s="90"/>
      <c r="I479" s="90"/>
    </row>
    <row r="480" spans="1:9" x14ac:dyDescent="0.2">
      <c r="A480" s="107" t="s">
        <v>680</v>
      </c>
      <c r="B480" s="108"/>
      <c r="C480" s="107" t="s">
        <v>681</v>
      </c>
      <c r="D480" s="108"/>
      <c r="E480" s="88">
        <v>-587.6</v>
      </c>
      <c r="F480" s="88">
        <v>357.6</v>
      </c>
      <c r="G480" s="88">
        <v>160.9</v>
      </c>
      <c r="H480" s="90"/>
      <c r="I480" s="90"/>
    </row>
    <row r="481" spans="1:9" x14ac:dyDescent="0.2">
      <c r="A481" s="119" t="s">
        <v>682</v>
      </c>
      <c r="B481" s="120"/>
      <c r="C481" s="120"/>
      <c r="D481" s="120"/>
      <c r="E481" s="120"/>
      <c r="F481" s="120"/>
      <c r="G481" s="120"/>
      <c r="H481" s="120"/>
      <c r="I481" s="121"/>
    </row>
    <row r="482" spans="1:9" x14ac:dyDescent="0.2">
      <c r="A482" s="122"/>
      <c r="B482" s="123"/>
      <c r="C482" s="123"/>
      <c r="D482" s="123"/>
      <c r="E482" s="123"/>
      <c r="F482" s="123"/>
      <c r="G482" s="123"/>
      <c r="H482" s="123"/>
      <c r="I482" s="124"/>
    </row>
    <row r="483" spans="1:9" x14ac:dyDescent="0.2">
      <c r="A483" s="107" t="s">
        <v>683</v>
      </c>
      <c r="B483" s="108"/>
      <c r="C483" s="107" t="s">
        <v>684</v>
      </c>
      <c r="D483" s="108"/>
      <c r="E483" s="88">
        <v>2</v>
      </c>
      <c r="F483" s="88">
        <v>2</v>
      </c>
      <c r="G483" s="88">
        <v>2</v>
      </c>
      <c r="H483" s="88">
        <v>17.2</v>
      </c>
      <c r="I483" s="88">
        <v>-88</v>
      </c>
    </row>
    <row r="484" spans="1:9" ht="18" customHeight="1" x14ac:dyDescent="0.2">
      <c r="A484" s="107" t="s">
        <v>685</v>
      </c>
      <c r="B484" s="108"/>
      <c r="C484" s="107" t="s">
        <v>686</v>
      </c>
      <c r="D484" s="108"/>
      <c r="E484" s="88">
        <v>100.6</v>
      </c>
      <c r="F484" s="125">
        <v>105.9</v>
      </c>
      <c r="G484" s="88">
        <v>5.2</v>
      </c>
      <c r="H484" s="125">
        <v>135.1</v>
      </c>
      <c r="I484" s="88">
        <v>-21.6</v>
      </c>
    </row>
    <row r="485" spans="1:9" x14ac:dyDescent="0.2">
      <c r="A485" s="107" t="s">
        <v>687</v>
      </c>
      <c r="B485" s="108"/>
      <c r="C485" s="107" t="s">
        <v>688</v>
      </c>
      <c r="D485" s="108"/>
      <c r="E485" s="88">
        <v>80.099999999999994</v>
      </c>
      <c r="F485" s="88">
        <v>83.5</v>
      </c>
      <c r="G485" s="88">
        <v>4.3</v>
      </c>
      <c r="H485" s="90"/>
      <c r="I485" s="90"/>
    </row>
    <row r="486" spans="1:9" x14ac:dyDescent="0.2">
      <c r="A486" s="107" t="s">
        <v>689</v>
      </c>
      <c r="B486" s="108"/>
      <c r="C486" s="107" t="s">
        <v>690</v>
      </c>
      <c r="D486" s="108"/>
      <c r="E486" s="89">
        <v>3831.5</v>
      </c>
      <c r="F486" s="89">
        <v>4276.1000000000004</v>
      </c>
      <c r="G486" s="88">
        <v>11.6</v>
      </c>
      <c r="H486" s="90"/>
      <c r="I486" s="90"/>
    </row>
    <row r="487" spans="1:9" ht="18" customHeight="1" x14ac:dyDescent="0.2">
      <c r="A487" s="107" t="s">
        <v>691</v>
      </c>
      <c r="B487" s="108"/>
      <c r="C487" s="107" t="s">
        <v>692</v>
      </c>
      <c r="D487" s="108"/>
      <c r="E487" s="88">
        <v>-390.3</v>
      </c>
      <c r="F487" s="88">
        <v>258.89999999999998</v>
      </c>
      <c r="G487" s="88">
        <v>166.3</v>
      </c>
      <c r="H487" s="90"/>
      <c r="I487" s="90"/>
    </row>
    <row r="488" spans="1:9" x14ac:dyDescent="0.2">
      <c r="A488" s="107" t="s">
        <v>693</v>
      </c>
      <c r="B488" s="108"/>
      <c r="C488" s="107" t="s">
        <v>694</v>
      </c>
      <c r="D488" s="108"/>
      <c r="E488" s="88">
        <v>7.5</v>
      </c>
      <c r="F488" s="88">
        <v>7.3</v>
      </c>
      <c r="G488" s="88">
        <v>-2.7</v>
      </c>
      <c r="H488" s="90"/>
      <c r="I488" s="90"/>
    </row>
    <row r="489" spans="1:9" x14ac:dyDescent="0.2">
      <c r="A489" s="107" t="s">
        <v>695</v>
      </c>
      <c r="B489" s="108"/>
      <c r="C489" s="107" t="s">
        <v>696</v>
      </c>
      <c r="D489" s="108"/>
      <c r="E489" s="88">
        <v>1</v>
      </c>
      <c r="F489" s="88">
        <v>2.5</v>
      </c>
      <c r="G489" s="88">
        <v>143.80000000000001</v>
      </c>
      <c r="H489" s="90"/>
      <c r="I489" s="90"/>
    </row>
    <row r="490" spans="1:9" x14ac:dyDescent="0.2">
      <c r="A490" s="107" t="s">
        <v>697</v>
      </c>
      <c r="B490" s="108"/>
      <c r="C490" s="107" t="s">
        <v>698</v>
      </c>
      <c r="D490" s="108"/>
      <c r="E490" s="88">
        <v>3.7</v>
      </c>
      <c r="F490" s="88">
        <v>4.3</v>
      </c>
      <c r="G490" s="88">
        <v>14.6</v>
      </c>
      <c r="H490" s="90"/>
      <c r="I490" s="90"/>
    </row>
    <row r="491" spans="1:9" x14ac:dyDescent="0.2">
      <c r="A491" s="119" t="s">
        <v>699</v>
      </c>
      <c r="B491" s="120"/>
      <c r="C491" s="120"/>
      <c r="D491" s="120"/>
      <c r="E491" s="120"/>
      <c r="F491" s="120"/>
      <c r="G491" s="120"/>
      <c r="H491" s="120"/>
      <c r="I491" s="121"/>
    </row>
    <row r="492" spans="1:9" x14ac:dyDescent="0.2">
      <c r="A492" s="122"/>
      <c r="B492" s="123"/>
      <c r="C492" s="123"/>
      <c r="D492" s="123"/>
      <c r="E492" s="123"/>
      <c r="F492" s="123"/>
      <c r="G492" s="123"/>
      <c r="H492" s="123"/>
      <c r="I492" s="124"/>
    </row>
    <row r="493" spans="1:9" x14ac:dyDescent="0.2">
      <c r="A493" s="107" t="s">
        <v>700</v>
      </c>
      <c r="B493" s="108"/>
      <c r="C493" s="107" t="s">
        <v>701</v>
      </c>
      <c r="D493" s="108"/>
      <c r="E493" s="88">
        <v>68.400000000000006</v>
      </c>
      <c r="F493" s="88">
        <v>74.8</v>
      </c>
      <c r="G493" s="88">
        <v>9.3000000000000007</v>
      </c>
      <c r="H493" s="90"/>
      <c r="I493" s="90"/>
    </row>
    <row r="494" spans="1:9" x14ac:dyDescent="0.2">
      <c r="A494" s="107" t="s">
        <v>702</v>
      </c>
      <c r="B494" s="108"/>
      <c r="C494" s="107" t="s">
        <v>703</v>
      </c>
      <c r="D494" s="108"/>
      <c r="E494" s="88">
        <v>0.8</v>
      </c>
      <c r="F494" s="88">
        <v>0.9</v>
      </c>
      <c r="G494" s="88">
        <v>17.7</v>
      </c>
      <c r="H494" s="90"/>
      <c r="I494" s="90"/>
    </row>
    <row r="495" spans="1:9" ht="18" customHeight="1" x14ac:dyDescent="0.2">
      <c r="A495" s="107" t="s">
        <v>704</v>
      </c>
      <c r="B495" s="108"/>
      <c r="C495" s="107" t="s">
        <v>705</v>
      </c>
      <c r="D495" s="108"/>
      <c r="E495" s="88">
        <v>166</v>
      </c>
      <c r="F495" s="88">
        <v>154.6</v>
      </c>
      <c r="G495" s="88">
        <v>-6.9</v>
      </c>
      <c r="H495" s="90"/>
      <c r="I495" s="90"/>
    </row>
    <row r="496" spans="1:9" ht="16" x14ac:dyDescent="0.2">
      <c r="A496" s="57"/>
    </row>
    <row r="497" spans="1:6" ht="16" x14ac:dyDescent="0.2">
      <c r="A497" s="57"/>
    </row>
    <row r="498" spans="1:6" ht="16" x14ac:dyDescent="0.2">
      <c r="A498" s="57" t="s">
        <v>215</v>
      </c>
    </row>
    <row r="499" spans="1:6" x14ac:dyDescent="0.2">
      <c r="A499" s="126">
        <v>81101</v>
      </c>
      <c r="B499" s="127"/>
      <c r="C499" s="126" t="s">
        <v>643</v>
      </c>
      <c r="D499" s="128"/>
      <c r="E499" s="128"/>
      <c r="F499" s="127"/>
    </row>
    <row r="500" spans="1:6" x14ac:dyDescent="0.2">
      <c r="A500" s="129" t="s">
        <v>706</v>
      </c>
      <c r="B500" s="130"/>
      <c r="C500" s="129" t="s">
        <v>707</v>
      </c>
      <c r="D500" s="131"/>
      <c r="E500" s="131"/>
      <c r="F500" s="130"/>
    </row>
    <row r="501" spans="1:6" ht="18" customHeight="1" x14ac:dyDescent="0.2">
      <c r="A501" s="129" t="s">
        <v>708</v>
      </c>
      <c r="B501" s="130"/>
      <c r="C501" s="129" t="s">
        <v>709</v>
      </c>
      <c r="D501" s="131"/>
      <c r="E501" s="131"/>
      <c r="F501" s="130"/>
    </row>
    <row r="502" spans="1:6" x14ac:dyDescent="0.2">
      <c r="A502" s="126">
        <v>81102</v>
      </c>
      <c r="B502" s="127"/>
      <c r="C502" s="126" t="s">
        <v>710</v>
      </c>
      <c r="D502" s="128"/>
      <c r="E502" s="128"/>
      <c r="F502" s="127"/>
    </row>
    <row r="503" spans="1:6" x14ac:dyDescent="0.2">
      <c r="A503" s="129" t="s">
        <v>711</v>
      </c>
      <c r="B503" s="130"/>
      <c r="C503" s="129" t="s">
        <v>712</v>
      </c>
      <c r="D503" s="131"/>
      <c r="E503" s="131"/>
      <c r="F503" s="130"/>
    </row>
    <row r="504" spans="1:6" ht="27" customHeight="1" x14ac:dyDescent="0.2">
      <c r="A504" s="129" t="s">
        <v>713</v>
      </c>
      <c r="B504" s="130"/>
      <c r="C504" s="129" t="s">
        <v>714</v>
      </c>
      <c r="D504" s="131"/>
      <c r="E504" s="131"/>
      <c r="F504" s="130"/>
    </row>
    <row r="505" spans="1:6" x14ac:dyDescent="0.2">
      <c r="A505" s="126">
        <v>81103</v>
      </c>
      <c r="B505" s="127"/>
      <c r="C505" s="126" t="s">
        <v>715</v>
      </c>
      <c r="D505" s="128"/>
      <c r="E505" s="128"/>
      <c r="F505" s="127"/>
    </row>
    <row r="506" spans="1:6" x14ac:dyDescent="0.2">
      <c r="A506" s="129" t="s">
        <v>716</v>
      </c>
      <c r="B506" s="130"/>
      <c r="C506" s="129" t="s">
        <v>717</v>
      </c>
      <c r="D506" s="131"/>
      <c r="E506" s="131"/>
      <c r="F506" s="130"/>
    </row>
    <row r="507" spans="1:6" ht="18" customHeight="1" x14ac:dyDescent="0.2">
      <c r="A507" s="132" t="s">
        <v>718</v>
      </c>
      <c r="B507" s="133"/>
      <c r="C507" s="132" t="s">
        <v>719</v>
      </c>
      <c r="D507" s="134"/>
      <c r="E507" s="134"/>
      <c r="F507" s="133"/>
    </row>
    <row r="508" spans="1:6" ht="18" customHeight="1" x14ac:dyDescent="0.2">
      <c r="A508" s="135"/>
      <c r="B508" s="136"/>
      <c r="C508" s="135" t="s">
        <v>720</v>
      </c>
      <c r="D508" s="137"/>
      <c r="E508" s="137"/>
      <c r="F508" s="136"/>
    </row>
    <row r="509" spans="1:6" x14ac:dyDescent="0.2">
      <c r="A509" s="126">
        <v>81104</v>
      </c>
      <c r="B509" s="127"/>
      <c r="C509" s="126" t="s">
        <v>645</v>
      </c>
      <c r="D509" s="128"/>
      <c r="E509" s="128"/>
      <c r="F509" s="127"/>
    </row>
    <row r="510" spans="1:6" x14ac:dyDescent="0.2">
      <c r="A510" s="129" t="s">
        <v>721</v>
      </c>
      <c r="B510" s="130"/>
      <c r="C510" s="129" t="s">
        <v>722</v>
      </c>
      <c r="D510" s="131"/>
      <c r="E510" s="131"/>
      <c r="F510" s="130"/>
    </row>
    <row r="511" spans="1:6" ht="27" customHeight="1" x14ac:dyDescent="0.2">
      <c r="A511" s="129" t="s">
        <v>723</v>
      </c>
      <c r="B511" s="130"/>
      <c r="C511" s="129" t="s">
        <v>724</v>
      </c>
      <c r="D511" s="131"/>
      <c r="E511" s="131"/>
      <c r="F511" s="130"/>
    </row>
    <row r="512" spans="1:6" x14ac:dyDescent="0.2">
      <c r="A512" s="126">
        <v>81131</v>
      </c>
      <c r="B512" s="127"/>
      <c r="C512" s="126" t="s">
        <v>725</v>
      </c>
      <c r="D512" s="128"/>
      <c r="E512" s="128"/>
      <c r="F512" s="127"/>
    </row>
    <row r="513" spans="1:6" x14ac:dyDescent="0.2">
      <c r="A513" s="129" t="s">
        <v>726</v>
      </c>
      <c r="B513" s="130"/>
      <c r="C513" s="129" t="s">
        <v>727</v>
      </c>
      <c r="D513" s="131"/>
      <c r="E513" s="131"/>
      <c r="F513" s="130"/>
    </row>
    <row r="514" spans="1:6" x14ac:dyDescent="0.2">
      <c r="A514" s="129" t="s">
        <v>728</v>
      </c>
      <c r="B514" s="130"/>
      <c r="C514" s="138"/>
      <c r="D514" s="139"/>
      <c r="E514" s="139"/>
      <c r="F514" s="140"/>
    </row>
    <row r="515" spans="1:6" x14ac:dyDescent="0.2">
      <c r="A515" s="126">
        <v>81132</v>
      </c>
      <c r="B515" s="127"/>
      <c r="C515" s="126" t="s">
        <v>729</v>
      </c>
      <c r="D515" s="128"/>
      <c r="E515" s="128"/>
      <c r="F515" s="127"/>
    </row>
    <row r="516" spans="1:6" x14ac:dyDescent="0.2">
      <c r="A516" s="129" t="s">
        <v>730</v>
      </c>
      <c r="B516" s="130"/>
      <c r="C516" s="129" t="s">
        <v>731</v>
      </c>
      <c r="D516" s="131"/>
      <c r="E516" s="131"/>
      <c r="F516" s="130"/>
    </row>
    <row r="517" spans="1:6" x14ac:dyDescent="0.2">
      <c r="A517" s="129" t="s">
        <v>732</v>
      </c>
      <c r="B517" s="130"/>
      <c r="C517" s="138"/>
      <c r="D517" s="139"/>
      <c r="E517" s="139"/>
      <c r="F517" s="140"/>
    </row>
    <row r="518" spans="1:6" x14ac:dyDescent="0.2">
      <c r="A518" s="126">
        <v>81133</v>
      </c>
      <c r="B518" s="127"/>
      <c r="C518" s="126" t="s">
        <v>647</v>
      </c>
      <c r="D518" s="128"/>
      <c r="E518" s="128"/>
      <c r="F518" s="127"/>
    </row>
    <row r="519" spans="1:6" ht="18" customHeight="1" x14ac:dyDescent="0.2">
      <c r="A519" s="129" t="s">
        <v>733</v>
      </c>
      <c r="B519" s="130"/>
      <c r="C519" s="129" t="s">
        <v>734</v>
      </c>
      <c r="D519" s="131"/>
      <c r="E519" s="131"/>
      <c r="F519" s="130"/>
    </row>
    <row r="520" spans="1:6" ht="36" customHeight="1" x14ac:dyDescent="0.2">
      <c r="A520" s="129" t="s">
        <v>735</v>
      </c>
      <c r="B520" s="130"/>
      <c r="C520" s="129" t="s">
        <v>736</v>
      </c>
      <c r="D520" s="131"/>
      <c r="E520" s="131"/>
      <c r="F520" s="130"/>
    </row>
    <row r="521" spans="1:6" x14ac:dyDescent="0.2">
      <c r="A521" s="126">
        <v>81134</v>
      </c>
      <c r="B521" s="127"/>
      <c r="C521" s="126" t="s">
        <v>737</v>
      </c>
      <c r="D521" s="128"/>
      <c r="E521" s="128"/>
      <c r="F521" s="127"/>
    </row>
    <row r="522" spans="1:6" x14ac:dyDescent="0.2">
      <c r="A522" s="129" t="s">
        <v>738</v>
      </c>
      <c r="B522" s="130"/>
      <c r="C522" s="129" t="s">
        <v>739</v>
      </c>
      <c r="D522" s="131"/>
      <c r="E522" s="131"/>
      <c r="F522" s="130"/>
    </row>
    <row r="523" spans="1:6" x14ac:dyDescent="0.2">
      <c r="A523" s="129" t="s">
        <v>740</v>
      </c>
      <c r="B523" s="130"/>
      <c r="C523" s="138"/>
      <c r="D523" s="139"/>
      <c r="E523" s="139"/>
      <c r="F523" s="140"/>
    </row>
    <row r="524" spans="1:6" x14ac:dyDescent="0.2">
      <c r="A524" s="126">
        <v>81135</v>
      </c>
      <c r="B524" s="127"/>
      <c r="C524" s="126" t="s">
        <v>649</v>
      </c>
      <c r="D524" s="128"/>
      <c r="E524" s="128"/>
      <c r="F524" s="127"/>
    </row>
    <row r="525" spans="1:6" x14ac:dyDescent="0.2">
      <c r="A525" s="129" t="s">
        <v>741</v>
      </c>
      <c r="B525" s="130"/>
      <c r="C525" s="129" t="s">
        <v>742</v>
      </c>
      <c r="D525" s="131"/>
      <c r="E525" s="131"/>
      <c r="F525" s="130"/>
    </row>
    <row r="526" spans="1:6" ht="27" customHeight="1" x14ac:dyDescent="0.2">
      <c r="A526" s="129" t="s">
        <v>743</v>
      </c>
      <c r="B526" s="130"/>
      <c r="C526" s="129" t="s">
        <v>744</v>
      </c>
      <c r="D526" s="131"/>
      <c r="E526" s="131"/>
      <c r="F526" s="130"/>
    </row>
    <row r="527" spans="1:6" x14ac:dyDescent="0.2">
      <c r="A527" s="126">
        <v>81136</v>
      </c>
      <c r="B527" s="127"/>
      <c r="C527" s="126" t="s">
        <v>745</v>
      </c>
      <c r="D527" s="128"/>
      <c r="E527" s="128"/>
      <c r="F527" s="127"/>
    </row>
    <row r="528" spans="1:6" x14ac:dyDescent="0.2">
      <c r="A528" s="129" t="s">
        <v>746</v>
      </c>
      <c r="B528" s="130"/>
      <c r="C528" s="129" t="s">
        <v>747</v>
      </c>
      <c r="D528" s="131"/>
      <c r="E528" s="131"/>
      <c r="F528" s="130"/>
    </row>
    <row r="529" spans="1:6" x14ac:dyDescent="0.2">
      <c r="A529" s="129" t="s">
        <v>748</v>
      </c>
      <c r="B529" s="130"/>
      <c r="C529" s="138"/>
      <c r="D529" s="139"/>
      <c r="E529" s="139"/>
      <c r="F529" s="140"/>
    </row>
    <row r="530" spans="1:6" x14ac:dyDescent="0.2">
      <c r="A530" s="126">
        <v>81137</v>
      </c>
      <c r="B530" s="127"/>
      <c r="C530" s="126" t="s">
        <v>749</v>
      </c>
      <c r="D530" s="128"/>
      <c r="E530" s="128"/>
      <c r="F530" s="127"/>
    </row>
    <row r="531" spans="1:6" x14ac:dyDescent="0.2">
      <c r="A531" s="129" t="s">
        <v>750</v>
      </c>
      <c r="B531" s="130"/>
      <c r="C531" s="129" t="s">
        <v>751</v>
      </c>
      <c r="D531" s="131"/>
      <c r="E531" s="131"/>
      <c r="F531" s="130"/>
    </row>
    <row r="532" spans="1:6" x14ac:dyDescent="0.2">
      <c r="A532" s="129" t="s">
        <v>752</v>
      </c>
      <c r="B532" s="130"/>
      <c r="C532" s="138"/>
      <c r="D532" s="139"/>
      <c r="E532" s="139"/>
      <c r="F532" s="140"/>
    </row>
    <row r="533" spans="1:6" x14ac:dyDescent="0.2">
      <c r="A533" s="126">
        <v>81138</v>
      </c>
      <c r="B533" s="127"/>
      <c r="C533" s="126" t="s">
        <v>753</v>
      </c>
      <c r="D533" s="128"/>
      <c r="E533" s="128"/>
      <c r="F533" s="127"/>
    </row>
    <row r="534" spans="1:6" x14ac:dyDescent="0.2">
      <c r="A534" s="129" t="s">
        <v>754</v>
      </c>
      <c r="B534" s="130"/>
      <c r="C534" s="129" t="s">
        <v>755</v>
      </c>
      <c r="D534" s="131"/>
      <c r="E534" s="131"/>
      <c r="F534" s="130"/>
    </row>
    <row r="535" spans="1:6" ht="18" customHeight="1" x14ac:dyDescent="0.2">
      <c r="A535" s="129" t="s">
        <v>756</v>
      </c>
      <c r="B535" s="130"/>
      <c r="C535" s="138"/>
      <c r="D535" s="139"/>
      <c r="E535" s="139"/>
      <c r="F535" s="140"/>
    </row>
    <row r="536" spans="1:6" x14ac:dyDescent="0.2">
      <c r="A536" s="126">
        <v>81140</v>
      </c>
      <c r="B536" s="127"/>
      <c r="C536" s="126" t="s">
        <v>757</v>
      </c>
      <c r="D536" s="128"/>
      <c r="E536" s="128"/>
      <c r="F536" s="127"/>
    </row>
    <row r="537" spans="1:6" x14ac:dyDescent="0.2">
      <c r="A537" s="129" t="s">
        <v>758</v>
      </c>
      <c r="B537" s="130"/>
      <c r="C537" s="129" t="s">
        <v>759</v>
      </c>
      <c r="D537" s="131"/>
      <c r="E537" s="131"/>
      <c r="F537" s="130"/>
    </row>
    <row r="538" spans="1:6" x14ac:dyDescent="0.2">
      <c r="A538" s="129" t="s">
        <v>760</v>
      </c>
      <c r="B538" s="130"/>
      <c r="C538" s="138"/>
      <c r="D538" s="139"/>
      <c r="E538" s="139"/>
      <c r="F538" s="140"/>
    </row>
    <row r="539" spans="1:6" x14ac:dyDescent="0.2">
      <c r="A539" s="126">
        <v>81141</v>
      </c>
      <c r="B539" s="127"/>
      <c r="C539" s="126" t="s">
        <v>651</v>
      </c>
      <c r="D539" s="128"/>
      <c r="E539" s="128"/>
      <c r="F539" s="127"/>
    </row>
    <row r="540" spans="1:6" x14ac:dyDescent="0.2">
      <c r="A540" s="129" t="s">
        <v>761</v>
      </c>
      <c r="B540" s="130"/>
      <c r="C540" s="129" t="s">
        <v>762</v>
      </c>
      <c r="D540" s="131"/>
      <c r="E540" s="131"/>
      <c r="F540" s="130"/>
    </row>
    <row r="541" spans="1:6" x14ac:dyDescent="0.2">
      <c r="A541" s="132" t="s">
        <v>763</v>
      </c>
      <c r="B541" s="133"/>
      <c r="C541" s="132" t="s">
        <v>764</v>
      </c>
      <c r="D541" s="134"/>
      <c r="E541" s="134"/>
      <c r="F541" s="133"/>
    </row>
    <row r="542" spans="1:6" ht="18" customHeight="1" x14ac:dyDescent="0.2">
      <c r="A542" s="141"/>
      <c r="B542" s="142"/>
      <c r="C542" s="141" t="s">
        <v>765</v>
      </c>
      <c r="D542" s="143"/>
      <c r="E542" s="143"/>
      <c r="F542" s="142"/>
    </row>
    <row r="543" spans="1:6" x14ac:dyDescent="0.2">
      <c r="A543" s="141"/>
      <c r="B543" s="142"/>
      <c r="C543" s="141" t="s">
        <v>766</v>
      </c>
      <c r="D543" s="143"/>
      <c r="E543" s="143"/>
      <c r="F543" s="142"/>
    </row>
    <row r="544" spans="1:6" x14ac:dyDescent="0.2">
      <c r="A544" s="135"/>
      <c r="B544" s="136"/>
      <c r="C544" s="135" t="s">
        <v>767</v>
      </c>
      <c r="D544" s="137"/>
      <c r="E544" s="137"/>
      <c r="F544" s="136"/>
    </row>
    <row r="545" spans="1:6" x14ac:dyDescent="0.2">
      <c r="A545" s="126">
        <v>81142</v>
      </c>
      <c r="B545" s="127"/>
      <c r="C545" s="126" t="s">
        <v>56</v>
      </c>
      <c r="D545" s="128"/>
      <c r="E545" s="128"/>
      <c r="F545" s="127"/>
    </row>
    <row r="546" spans="1:6" x14ac:dyDescent="0.2">
      <c r="A546" s="129" t="s">
        <v>768</v>
      </c>
      <c r="B546" s="130"/>
      <c r="C546" s="129" t="s">
        <v>769</v>
      </c>
      <c r="D546" s="131"/>
      <c r="E546" s="131"/>
      <c r="F546" s="130"/>
    </row>
    <row r="547" spans="1:6" x14ac:dyDescent="0.2">
      <c r="A547" s="129" t="s">
        <v>770</v>
      </c>
      <c r="B547" s="130"/>
      <c r="C547" s="138"/>
      <c r="D547" s="139"/>
      <c r="E547" s="139"/>
      <c r="F547" s="140"/>
    </row>
    <row r="548" spans="1:6" x14ac:dyDescent="0.2">
      <c r="A548" s="126">
        <v>81143</v>
      </c>
      <c r="B548" s="127"/>
      <c r="C548" s="126" t="s">
        <v>653</v>
      </c>
      <c r="D548" s="128"/>
      <c r="E548" s="128"/>
      <c r="F548" s="127"/>
    </row>
    <row r="549" spans="1:6" x14ac:dyDescent="0.2">
      <c r="A549" s="129" t="s">
        <v>711</v>
      </c>
      <c r="B549" s="130"/>
      <c r="C549" s="129" t="s">
        <v>771</v>
      </c>
      <c r="D549" s="131"/>
      <c r="E549" s="131"/>
      <c r="F549" s="130"/>
    </row>
    <row r="550" spans="1:6" x14ac:dyDescent="0.2">
      <c r="A550" s="129" t="s">
        <v>713</v>
      </c>
      <c r="B550" s="130"/>
      <c r="C550" s="138"/>
      <c r="D550" s="139"/>
      <c r="E550" s="139"/>
      <c r="F550" s="140"/>
    </row>
    <row r="551" spans="1:6" x14ac:dyDescent="0.2">
      <c r="A551" s="126">
        <v>81144</v>
      </c>
      <c r="B551" s="127"/>
      <c r="C551" s="126" t="s">
        <v>772</v>
      </c>
      <c r="D551" s="128"/>
      <c r="E551" s="128"/>
      <c r="F551" s="127"/>
    </row>
    <row r="552" spans="1:6" x14ac:dyDescent="0.2">
      <c r="A552" s="129" t="s">
        <v>773</v>
      </c>
      <c r="B552" s="130"/>
      <c r="C552" s="129" t="s">
        <v>774</v>
      </c>
      <c r="D552" s="131"/>
      <c r="E552" s="131"/>
      <c r="F552" s="130"/>
    </row>
    <row r="553" spans="1:6" ht="18" customHeight="1" x14ac:dyDescent="0.2">
      <c r="A553" s="129" t="s">
        <v>775</v>
      </c>
      <c r="B553" s="130"/>
      <c r="C553" s="138"/>
      <c r="D553" s="139"/>
      <c r="E553" s="139"/>
      <c r="F553" s="140"/>
    </row>
    <row r="554" spans="1:6" x14ac:dyDescent="0.2">
      <c r="A554" s="126">
        <v>81145</v>
      </c>
      <c r="B554" s="127"/>
      <c r="C554" s="126" t="s">
        <v>776</v>
      </c>
      <c r="D554" s="128"/>
      <c r="E554" s="128"/>
      <c r="F554" s="127"/>
    </row>
    <row r="555" spans="1:6" x14ac:dyDescent="0.2">
      <c r="A555" s="129" t="s">
        <v>777</v>
      </c>
      <c r="B555" s="130"/>
      <c r="C555" s="129" t="s">
        <v>778</v>
      </c>
      <c r="D555" s="131"/>
      <c r="E555" s="131"/>
      <c r="F555" s="130"/>
    </row>
    <row r="556" spans="1:6" x14ac:dyDescent="0.2">
      <c r="A556" s="129" t="s">
        <v>779</v>
      </c>
      <c r="B556" s="130"/>
      <c r="C556" s="138"/>
      <c r="D556" s="139"/>
      <c r="E556" s="139"/>
      <c r="F556" s="140"/>
    </row>
    <row r="557" spans="1:6" x14ac:dyDescent="0.2">
      <c r="A557" s="126">
        <v>81146</v>
      </c>
      <c r="B557" s="127"/>
      <c r="C557" s="126" t="s">
        <v>780</v>
      </c>
      <c r="D557" s="128"/>
      <c r="E557" s="128"/>
      <c r="F557" s="127"/>
    </row>
    <row r="558" spans="1:6" x14ac:dyDescent="0.2">
      <c r="A558" s="129" t="s">
        <v>781</v>
      </c>
      <c r="B558" s="130"/>
      <c r="C558" s="129" t="s">
        <v>782</v>
      </c>
      <c r="D558" s="131"/>
      <c r="E558" s="131"/>
      <c r="F558" s="130"/>
    </row>
    <row r="559" spans="1:6" ht="36" customHeight="1" x14ac:dyDescent="0.2">
      <c r="A559" s="129" t="s">
        <v>783</v>
      </c>
      <c r="B559" s="130"/>
      <c r="C559" s="129" t="s">
        <v>784</v>
      </c>
      <c r="D559" s="131"/>
      <c r="E559" s="131"/>
      <c r="F559" s="130"/>
    </row>
    <row r="560" spans="1:6" x14ac:dyDescent="0.2">
      <c r="A560" s="126">
        <v>81147</v>
      </c>
      <c r="B560" s="127"/>
      <c r="C560" s="126" t="s">
        <v>785</v>
      </c>
      <c r="D560" s="128"/>
      <c r="E560" s="128"/>
      <c r="F560" s="127"/>
    </row>
    <row r="561" spans="1:6" x14ac:dyDescent="0.2">
      <c r="A561" s="129" t="s">
        <v>786</v>
      </c>
      <c r="B561" s="130"/>
      <c r="C561" s="129" t="s">
        <v>787</v>
      </c>
      <c r="D561" s="131"/>
      <c r="E561" s="131"/>
      <c r="F561" s="130"/>
    </row>
    <row r="562" spans="1:6" ht="27" customHeight="1" x14ac:dyDescent="0.2">
      <c r="A562" s="129" t="s">
        <v>788</v>
      </c>
      <c r="B562" s="130"/>
      <c r="C562" s="138"/>
      <c r="D562" s="139"/>
      <c r="E562" s="139"/>
      <c r="F562" s="140"/>
    </row>
    <row r="563" spans="1:6" x14ac:dyDescent="0.2">
      <c r="A563" s="126">
        <v>81148</v>
      </c>
      <c r="B563" s="127"/>
      <c r="C563" s="126" t="s">
        <v>789</v>
      </c>
      <c r="D563" s="128"/>
      <c r="E563" s="128"/>
      <c r="F563" s="127"/>
    </row>
    <row r="564" spans="1:6" x14ac:dyDescent="0.2">
      <c r="A564" s="129" t="s">
        <v>790</v>
      </c>
      <c r="B564" s="130"/>
      <c r="C564" s="129" t="s">
        <v>791</v>
      </c>
      <c r="D564" s="131"/>
      <c r="E564" s="131"/>
      <c r="F564" s="130"/>
    </row>
    <row r="565" spans="1:6" ht="18" customHeight="1" x14ac:dyDescent="0.2">
      <c r="A565" s="129" t="s">
        <v>792</v>
      </c>
      <c r="B565" s="130"/>
      <c r="C565" s="138"/>
      <c r="D565" s="139"/>
      <c r="E565" s="139"/>
      <c r="F565" s="140"/>
    </row>
    <row r="566" spans="1:6" x14ac:dyDescent="0.2">
      <c r="A566" s="126">
        <v>81150</v>
      </c>
      <c r="B566" s="127"/>
      <c r="C566" s="126" t="s">
        <v>655</v>
      </c>
      <c r="D566" s="128"/>
      <c r="E566" s="128"/>
      <c r="F566" s="127"/>
    </row>
    <row r="567" spans="1:6" ht="27" customHeight="1" x14ac:dyDescent="0.2">
      <c r="A567" s="129" t="s">
        <v>793</v>
      </c>
      <c r="B567" s="130"/>
      <c r="C567" s="129" t="s">
        <v>794</v>
      </c>
      <c r="D567" s="131"/>
      <c r="E567" s="131"/>
      <c r="F567" s="130"/>
    </row>
    <row r="568" spans="1:6" ht="36" customHeight="1" x14ac:dyDescent="0.2">
      <c r="A568" s="129" t="s">
        <v>795</v>
      </c>
      <c r="B568" s="130"/>
      <c r="C568" s="138"/>
      <c r="D568" s="139"/>
      <c r="E568" s="139"/>
      <c r="F568" s="140"/>
    </row>
    <row r="569" spans="1:6" x14ac:dyDescent="0.2">
      <c r="A569" s="126">
        <v>81201</v>
      </c>
      <c r="B569" s="127"/>
      <c r="C569" s="126" t="s">
        <v>658</v>
      </c>
      <c r="D569" s="128"/>
      <c r="E569" s="128"/>
      <c r="F569" s="127"/>
    </row>
    <row r="570" spans="1:6" x14ac:dyDescent="0.2">
      <c r="A570" s="129" t="s">
        <v>796</v>
      </c>
      <c r="B570" s="130"/>
      <c r="C570" s="129" t="s">
        <v>797</v>
      </c>
      <c r="D570" s="131"/>
      <c r="E570" s="131"/>
      <c r="F570" s="130"/>
    </row>
    <row r="571" spans="1:6" ht="18" customHeight="1" x14ac:dyDescent="0.2">
      <c r="A571" s="132" t="s">
        <v>798</v>
      </c>
      <c r="B571" s="133"/>
      <c r="C571" s="132" t="s">
        <v>799</v>
      </c>
      <c r="D571" s="134"/>
      <c r="E571" s="134"/>
      <c r="F571" s="133"/>
    </row>
    <row r="572" spans="1:6" x14ac:dyDescent="0.2">
      <c r="A572" s="135"/>
      <c r="B572" s="136"/>
      <c r="C572" s="135" t="s">
        <v>800</v>
      </c>
      <c r="D572" s="137"/>
      <c r="E572" s="137"/>
      <c r="F572" s="136"/>
    </row>
    <row r="573" spans="1:6" x14ac:dyDescent="0.2">
      <c r="A573" s="126">
        <v>81202</v>
      </c>
      <c r="B573" s="127"/>
      <c r="C573" s="126" t="s">
        <v>660</v>
      </c>
      <c r="D573" s="128"/>
      <c r="E573" s="128"/>
      <c r="F573" s="127"/>
    </row>
    <row r="574" spans="1:6" x14ac:dyDescent="0.2">
      <c r="A574" s="129" t="s">
        <v>801</v>
      </c>
      <c r="B574" s="130"/>
      <c r="C574" s="129" t="s">
        <v>802</v>
      </c>
      <c r="D574" s="131"/>
      <c r="E574" s="131"/>
      <c r="F574" s="130"/>
    </row>
    <row r="575" spans="1:6" x14ac:dyDescent="0.2">
      <c r="A575" s="132" t="s">
        <v>803</v>
      </c>
      <c r="B575" s="133"/>
      <c r="C575" s="132" t="s">
        <v>804</v>
      </c>
      <c r="D575" s="134"/>
      <c r="E575" s="134"/>
      <c r="F575" s="133"/>
    </row>
    <row r="576" spans="1:6" x14ac:dyDescent="0.2">
      <c r="A576" s="135"/>
      <c r="B576" s="136"/>
      <c r="C576" s="135" t="s">
        <v>805</v>
      </c>
      <c r="D576" s="137"/>
      <c r="E576" s="137"/>
      <c r="F576" s="136"/>
    </row>
    <row r="577" spans="1:6" x14ac:dyDescent="0.2">
      <c r="A577" s="126">
        <v>81203</v>
      </c>
      <c r="B577" s="127"/>
      <c r="C577" s="126" t="s">
        <v>662</v>
      </c>
      <c r="D577" s="128"/>
      <c r="E577" s="128"/>
      <c r="F577" s="127"/>
    </row>
    <row r="578" spans="1:6" x14ac:dyDescent="0.2">
      <c r="A578" s="129" t="s">
        <v>806</v>
      </c>
      <c r="B578" s="130"/>
      <c r="C578" s="129" t="s">
        <v>807</v>
      </c>
      <c r="D578" s="131"/>
      <c r="E578" s="131"/>
      <c r="F578" s="130"/>
    </row>
    <row r="579" spans="1:6" x14ac:dyDescent="0.2">
      <c r="A579" s="129" t="s">
        <v>808</v>
      </c>
      <c r="B579" s="130"/>
      <c r="C579" s="138"/>
      <c r="D579" s="139"/>
      <c r="E579" s="139"/>
      <c r="F579" s="140"/>
    </row>
    <row r="580" spans="1:6" x14ac:dyDescent="0.2">
      <c r="A580" s="126">
        <v>81231</v>
      </c>
      <c r="B580" s="127"/>
      <c r="C580" s="126" t="s">
        <v>809</v>
      </c>
      <c r="D580" s="128"/>
      <c r="E580" s="128"/>
      <c r="F580" s="127"/>
    </row>
    <row r="581" spans="1:6" x14ac:dyDescent="0.2">
      <c r="A581" s="129" t="s">
        <v>810</v>
      </c>
      <c r="B581" s="130"/>
      <c r="C581" s="129" t="s">
        <v>811</v>
      </c>
      <c r="D581" s="131"/>
      <c r="E581" s="131"/>
      <c r="F581" s="130"/>
    </row>
    <row r="582" spans="1:6" ht="18" customHeight="1" x14ac:dyDescent="0.2">
      <c r="A582" s="129" t="s">
        <v>812</v>
      </c>
      <c r="B582" s="130"/>
      <c r="C582" s="129" t="s">
        <v>813</v>
      </c>
      <c r="D582" s="131"/>
      <c r="E582" s="131"/>
      <c r="F582" s="130"/>
    </row>
    <row r="583" spans="1:6" x14ac:dyDescent="0.2">
      <c r="A583" s="126">
        <v>81232</v>
      </c>
      <c r="B583" s="127"/>
      <c r="C583" s="126" t="s">
        <v>664</v>
      </c>
      <c r="D583" s="128"/>
      <c r="E583" s="128"/>
      <c r="F583" s="127"/>
    </row>
    <row r="584" spans="1:6" x14ac:dyDescent="0.2">
      <c r="A584" s="129" t="s">
        <v>814</v>
      </c>
      <c r="B584" s="130"/>
      <c r="C584" s="129" t="s">
        <v>815</v>
      </c>
      <c r="D584" s="131"/>
      <c r="E584" s="131"/>
      <c r="F584" s="130"/>
    </row>
    <row r="585" spans="1:6" x14ac:dyDescent="0.2">
      <c r="A585" s="129" t="s">
        <v>816</v>
      </c>
      <c r="B585" s="130"/>
      <c r="C585" s="138"/>
      <c r="D585" s="139"/>
      <c r="E585" s="139"/>
      <c r="F585" s="140"/>
    </row>
    <row r="586" spans="1:6" x14ac:dyDescent="0.2">
      <c r="A586" s="126">
        <v>81233</v>
      </c>
      <c r="B586" s="127"/>
      <c r="C586" s="126" t="s">
        <v>666</v>
      </c>
      <c r="D586" s="128"/>
      <c r="E586" s="128"/>
      <c r="F586" s="127"/>
    </row>
    <row r="587" spans="1:6" x14ac:dyDescent="0.2">
      <c r="A587" s="129" t="s">
        <v>817</v>
      </c>
      <c r="B587" s="130"/>
      <c r="C587" s="129" t="s">
        <v>818</v>
      </c>
      <c r="D587" s="131"/>
      <c r="E587" s="131"/>
      <c r="F587" s="130"/>
    </row>
    <row r="588" spans="1:6" x14ac:dyDescent="0.2">
      <c r="A588" s="129" t="s">
        <v>819</v>
      </c>
      <c r="B588" s="130"/>
      <c r="C588" s="138"/>
      <c r="D588" s="139"/>
      <c r="E588" s="139"/>
      <c r="F588" s="140"/>
    </row>
    <row r="589" spans="1:6" x14ac:dyDescent="0.2">
      <c r="A589" s="126">
        <v>81234</v>
      </c>
      <c r="B589" s="127"/>
      <c r="C589" s="126" t="s">
        <v>668</v>
      </c>
      <c r="D589" s="128"/>
      <c r="E589" s="128"/>
      <c r="F589" s="127"/>
    </row>
    <row r="590" spans="1:6" x14ac:dyDescent="0.2">
      <c r="A590" s="129" t="s">
        <v>820</v>
      </c>
      <c r="B590" s="130"/>
      <c r="C590" s="129" t="s">
        <v>821</v>
      </c>
      <c r="D590" s="131"/>
      <c r="E590" s="131"/>
      <c r="F590" s="130"/>
    </row>
    <row r="591" spans="1:6" x14ac:dyDescent="0.2">
      <c r="A591" s="129" t="s">
        <v>822</v>
      </c>
      <c r="B591" s="130"/>
      <c r="C591" s="138"/>
      <c r="D591" s="139"/>
      <c r="E591" s="139"/>
      <c r="F591" s="140"/>
    </row>
    <row r="592" spans="1:6" x14ac:dyDescent="0.2">
      <c r="A592" s="126">
        <v>81235</v>
      </c>
      <c r="B592" s="127"/>
      <c r="C592" s="126" t="s">
        <v>823</v>
      </c>
      <c r="D592" s="128"/>
      <c r="E592" s="128"/>
      <c r="F592" s="127"/>
    </row>
    <row r="593" spans="1:6" x14ac:dyDescent="0.2">
      <c r="A593" s="129" t="s">
        <v>824</v>
      </c>
      <c r="B593" s="130"/>
      <c r="C593" s="129" t="s">
        <v>825</v>
      </c>
      <c r="D593" s="131"/>
      <c r="E593" s="131"/>
      <c r="F593" s="130"/>
    </row>
    <row r="594" spans="1:6" ht="27" customHeight="1" x14ac:dyDescent="0.2">
      <c r="A594" s="129" t="s">
        <v>826</v>
      </c>
      <c r="B594" s="130"/>
      <c r="C594" s="138"/>
      <c r="D594" s="139"/>
      <c r="E594" s="139"/>
      <c r="F594" s="140"/>
    </row>
    <row r="595" spans="1:6" x14ac:dyDescent="0.2">
      <c r="A595" s="126">
        <v>81236</v>
      </c>
      <c r="B595" s="127"/>
      <c r="C595" s="126" t="s">
        <v>670</v>
      </c>
      <c r="D595" s="128"/>
      <c r="E595" s="128"/>
      <c r="F595" s="127"/>
    </row>
    <row r="596" spans="1:6" x14ac:dyDescent="0.2">
      <c r="A596" s="129" t="s">
        <v>827</v>
      </c>
      <c r="B596" s="130"/>
      <c r="C596" s="129" t="s">
        <v>828</v>
      </c>
      <c r="D596" s="131"/>
      <c r="E596" s="131"/>
      <c r="F596" s="130"/>
    </row>
    <row r="597" spans="1:6" ht="45" customHeight="1" x14ac:dyDescent="0.2">
      <c r="A597" s="129" t="s">
        <v>829</v>
      </c>
      <c r="B597" s="130"/>
      <c r="C597" s="129" t="s">
        <v>830</v>
      </c>
      <c r="D597" s="131"/>
      <c r="E597" s="131"/>
      <c r="F597" s="130"/>
    </row>
    <row r="598" spans="1:6" x14ac:dyDescent="0.2">
      <c r="A598" s="126">
        <v>81237</v>
      </c>
      <c r="B598" s="127"/>
      <c r="C598" s="126" t="s">
        <v>171</v>
      </c>
      <c r="D598" s="128"/>
      <c r="E598" s="128"/>
      <c r="F598" s="127"/>
    </row>
    <row r="599" spans="1:6" x14ac:dyDescent="0.2">
      <c r="A599" s="129" t="s">
        <v>831</v>
      </c>
      <c r="B599" s="130"/>
      <c r="C599" s="129" t="s">
        <v>832</v>
      </c>
      <c r="D599" s="131"/>
      <c r="E599" s="131"/>
      <c r="F599" s="130"/>
    </row>
    <row r="600" spans="1:6" x14ac:dyDescent="0.2">
      <c r="A600" s="129" t="s">
        <v>833</v>
      </c>
      <c r="B600" s="130"/>
      <c r="C600" s="138"/>
      <c r="D600" s="139"/>
      <c r="E600" s="139"/>
      <c r="F600" s="140"/>
    </row>
    <row r="601" spans="1:6" x14ac:dyDescent="0.2">
      <c r="A601" s="126">
        <v>81238</v>
      </c>
      <c r="B601" s="127"/>
      <c r="C601" s="126" t="s">
        <v>672</v>
      </c>
      <c r="D601" s="128"/>
      <c r="E601" s="128"/>
      <c r="F601" s="127"/>
    </row>
    <row r="602" spans="1:6" x14ac:dyDescent="0.2">
      <c r="A602" s="129" t="s">
        <v>834</v>
      </c>
      <c r="B602" s="130"/>
      <c r="C602" s="129" t="s">
        <v>835</v>
      </c>
      <c r="D602" s="131"/>
      <c r="E602" s="131"/>
      <c r="F602" s="130"/>
    </row>
    <row r="603" spans="1:6" ht="27" customHeight="1" x14ac:dyDescent="0.2">
      <c r="A603" s="129" t="s">
        <v>836</v>
      </c>
      <c r="B603" s="130"/>
      <c r="C603" s="129" t="s">
        <v>837</v>
      </c>
      <c r="D603" s="131"/>
      <c r="E603" s="131"/>
      <c r="F603" s="130"/>
    </row>
    <row r="604" spans="1:6" x14ac:dyDescent="0.2">
      <c r="A604" s="126">
        <v>81239</v>
      </c>
      <c r="B604" s="127"/>
      <c r="C604" s="126" t="s">
        <v>674</v>
      </c>
      <c r="D604" s="128"/>
      <c r="E604" s="128"/>
      <c r="F604" s="127"/>
    </row>
    <row r="605" spans="1:6" x14ac:dyDescent="0.2">
      <c r="A605" s="129" t="s">
        <v>838</v>
      </c>
      <c r="B605" s="130"/>
      <c r="C605" s="129" t="s">
        <v>839</v>
      </c>
      <c r="D605" s="131"/>
      <c r="E605" s="131"/>
      <c r="F605" s="130"/>
    </row>
    <row r="606" spans="1:6" ht="27" customHeight="1" x14ac:dyDescent="0.2">
      <c r="A606" s="129" t="s">
        <v>840</v>
      </c>
      <c r="B606" s="130"/>
      <c r="C606" s="129" t="s">
        <v>841</v>
      </c>
      <c r="D606" s="131"/>
      <c r="E606" s="131"/>
      <c r="F606" s="130"/>
    </row>
    <row r="607" spans="1:6" x14ac:dyDescent="0.2">
      <c r="A607" s="126">
        <v>81240</v>
      </c>
      <c r="B607" s="127"/>
      <c r="C607" s="126" t="s">
        <v>676</v>
      </c>
      <c r="D607" s="128"/>
      <c r="E607" s="128"/>
      <c r="F607" s="127"/>
    </row>
    <row r="608" spans="1:6" x14ac:dyDescent="0.2">
      <c r="A608" s="129" t="s">
        <v>842</v>
      </c>
      <c r="B608" s="130"/>
      <c r="C608" s="129" t="s">
        <v>843</v>
      </c>
      <c r="D608" s="131"/>
      <c r="E608" s="131"/>
      <c r="F608" s="130"/>
    </row>
    <row r="609" spans="1:6" ht="18" customHeight="1" x14ac:dyDescent="0.2">
      <c r="A609" s="129" t="s">
        <v>844</v>
      </c>
      <c r="B609" s="130"/>
      <c r="C609" s="129" t="s">
        <v>845</v>
      </c>
      <c r="D609" s="131"/>
      <c r="E609" s="131"/>
      <c r="F609" s="130"/>
    </row>
    <row r="610" spans="1:6" x14ac:dyDescent="0.2">
      <c r="A610" s="126">
        <v>81301</v>
      </c>
      <c r="B610" s="127"/>
      <c r="C610" s="126" t="s">
        <v>683</v>
      </c>
      <c r="D610" s="128"/>
      <c r="E610" s="128"/>
      <c r="F610" s="127"/>
    </row>
    <row r="611" spans="1:6" x14ac:dyDescent="0.2">
      <c r="A611" s="129" t="s">
        <v>846</v>
      </c>
      <c r="B611" s="130"/>
      <c r="C611" s="129" t="s">
        <v>847</v>
      </c>
      <c r="D611" s="131"/>
      <c r="E611" s="131"/>
      <c r="F611" s="130"/>
    </row>
    <row r="612" spans="1:6" ht="36" customHeight="1" x14ac:dyDescent="0.2">
      <c r="A612" s="129" t="s">
        <v>848</v>
      </c>
      <c r="B612" s="130"/>
      <c r="C612" s="129" t="s">
        <v>849</v>
      </c>
      <c r="D612" s="131"/>
      <c r="E612" s="131"/>
      <c r="F612" s="130"/>
    </row>
    <row r="613" spans="1:6" x14ac:dyDescent="0.2">
      <c r="A613" s="126">
        <v>81302</v>
      </c>
      <c r="B613" s="127"/>
      <c r="C613" s="126" t="s">
        <v>685</v>
      </c>
      <c r="D613" s="128"/>
      <c r="E613" s="128"/>
      <c r="F613" s="127"/>
    </row>
    <row r="614" spans="1:6" x14ac:dyDescent="0.2">
      <c r="A614" s="129" t="s">
        <v>850</v>
      </c>
      <c r="B614" s="130"/>
      <c r="C614" s="129" t="s">
        <v>851</v>
      </c>
      <c r="D614" s="131"/>
      <c r="E614" s="131"/>
      <c r="F614" s="130"/>
    </row>
    <row r="615" spans="1:6" ht="27" customHeight="1" x14ac:dyDescent="0.2">
      <c r="A615" s="129" t="s">
        <v>852</v>
      </c>
      <c r="B615" s="130"/>
      <c r="C615" s="129" t="s">
        <v>853</v>
      </c>
      <c r="D615" s="131"/>
      <c r="E615" s="131"/>
      <c r="F615" s="130"/>
    </row>
    <row r="616" spans="1:6" x14ac:dyDescent="0.2">
      <c r="A616" s="126">
        <v>81303</v>
      </c>
      <c r="B616" s="127"/>
      <c r="C616" s="126" t="s">
        <v>854</v>
      </c>
      <c r="D616" s="128"/>
      <c r="E616" s="128"/>
      <c r="F616" s="127"/>
    </row>
    <row r="617" spans="1:6" x14ac:dyDescent="0.2">
      <c r="A617" s="129" t="s">
        <v>855</v>
      </c>
      <c r="B617" s="130"/>
      <c r="C617" s="129" t="s">
        <v>856</v>
      </c>
      <c r="D617" s="131"/>
      <c r="E617" s="131"/>
      <c r="F617" s="130"/>
    </row>
    <row r="618" spans="1:6" x14ac:dyDescent="0.2">
      <c r="A618" s="129" t="s">
        <v>857</v>
      </c>
      <c r="B618" s="130"/>
      <c r="C618" s="138"/>
      <c r="D618" s="139"/>
      <c r="E618" s="139"/>
      <c r="F618" s="140"/>
    </row>
    <row r="619" spans="1:6" x14ac:dyDescent="0.2">
      <c r="A619" s="126">
        <v>81331</v>
      </c>
      <c r="B619" s="127"/>
      <c r="C619" s="126" t="s">
        <v>858</v>
      </c>
      <c r="D619" s="128"/>
      <c r="E619" s="128"/>
      <c r="F619" s="127"/>
    </row>
    <row r="620" spans="1:6" ht="18" customHeight="1" x14ac:dyDescent="0.2">
      <c r="A620" s="129" t="s">
        <v>859</v>
      </c>
      <c r="B620" s="130"/>
      <c r="C620" s="129" t="s">
        <v>860</v>
      </c>
      <c r="D620" s="131"/>
      <c r="E620" s="131"/>
      <c r="F620" s="130"/>
    </row>
    <row r="621" spans="1:6" ht="81" customHeight="1" x14ac:dyDescent="0.2">
      <c r="A621" s="129" t="s">
        <v>861</v>
      </c>
      <c r="B621" s="130"/>
      <c r="C621" s="138"/>
      <c r="D621" s="139"/>
      <c r="E621" s="139"/>
      <c r="F621" s="140"/>
    </row>
    <row r="622" spans="1:6" x14ac:dyDescent="0.2">
      <c r="A622" s="126">
        <v>81332</v>
      </c>
      <c r="B622" s="127"/>
      <c r="C622" s="126" t="s">
        <v>862</v>
      </c>
      <c r="D622" s="128"/>
      <c r="E622" s="128"/>
      <c r="F622" s="127"/>
    </row>
    <row r="623" spans="1:6" x14ac:dyDescent="0.2">
      <c r="A623" s="129" t="s">
        <v>863</v>
      </c>
      <c r="B623" s="130"/>
      <c r="C623" s="129" t="s">
        <v>864</v>
      </c>
      <c r="D623" s="131"/>
      <c r="E623" s="131"/>
      <c r="F623" s="130"/>
    </row>
    <row r="624" spans="1:6" ht="18" customHeight="1" x14ac:dyDescent="0.2">
      <c r="A624" s="129" t="s">
        <v>865</v>
      </c>
      <c r="B624" s="130"/>
      <c r="C624" s="138"/>
      <c r="D624" s="139"/>
      <c r="E624" s="139"/>
      <c r="F624" s="140"/>
    </row>
    <row r="625" spans="1:6" x14ac:dyDescent="0.2">
      <c r="A625" s="126">
        <v>81333</v>
      </c>
      <c r="B625" s="127"/>
      <c r="C625" s="126" t="s">
        <v>687</v>
      </c>
      <c r="D625" s="128"/>
      <c r="E625" s="128"/>
      <c r="F625" s="127"/>
    </row>
    <row r="626" spans="1:6" x14ac:dyDescent="0.2">
      <c r="A626" s="129" t="s">
        <v>866</v>
      </c>
      <c r="B626" s="130"/>
      <c r="C626" s="129" t="s">
        <v>867</v>
      </c>
      <c r="D626" s="131"/>
      <c r="E626" s="131"/>
      <c r="F626" s="130"/>
    </row>
    <row r="627" spans="1:6" ht="36" customHeight="1" x14ac:dyDescent="0.2">
      <c r="A627" s="129" t="s">
        <v>868</v>
      </c>
      <c r="B627" s="130"/>
      <c r="C627" s="129" t="s">
        <v>869</v>
      </c>
      <c r="D627" s="131"/>
      <c r="E627" s="131"/>
      <c r="F627" s="130"/>
    </row>
    <row r="628" spans="1:6" x14ac:dyDescent="0.2">
      <c r="A628" s="126">
        <v>81334</v>
      </c>
      <c r="B628" s="127"/>
      <c r="C628" s="126" t="s">
        <v>870</v>
      </c>
      <c r="D628" s="128"/>
      <c r="E628" s="128"/>
      <c r="F628" s="127"/>
    </row>
    <row r="629" spans="1:6" x14ac:dyDescent="0.2">
      <c r="A629" s="129" t="s">
        <v>871</v>
      </c>
      <c r="B629" s="130"/>
      <c r="C629" s="129" t="s">
        <v>872</v>
      </c>
      <c r="D629" s="131"/>
      <c r="E629" s="131"/>
      <c r="F629" s="130"/>
    </row>
    <row r="630" spans="1:6" ht="45" customHeight="1" x14ac:dyDescent="0.2">
      <c r="A630" s="129" t="s">
        <v>873</v>
      </c>
      <c r="B630" s="130"/>
      <c r="C630" s="138"/>
      <c r="D630" s="139"/>
      <c r="E630" s="139"/>
      <c r="F630" s="140"/>
    </row>
    <row r="631" spans="1:6" x14ac:dyDescent="0.2">
      <c r="A631" s="126">
        <v>81336</v>
      </c>
      <c r="B631" s="127"/>
      <c r="C631" s="126" t="s">
        <v>874</v>
      </c>
      <c r="D631" s="128"/>
      <c r="E631" s="128"/>
      <c r="F631" s="127"/>
    </row>
    <row r="632" spans="1:6" x14ac:dyDescent="0.2">
      <c r="A632" s="129" t="s">
        <v>875</v>
      </c>
      <c r="B632" s="130"/>
      <c r="C632" s="129" t="s">
        <v>876</v>
      </c>
      <c r="D632" s="131"/>
      <c r="E632" s="131"/>
      <c r="F632" s="130"/>
    </row>
    <row r="633" spans="1:6" ht="18" customHeight="1" x14ac:dyDescent="0.2">
      <c r="A633" s="129" t="s">
        <v>877</v>
      </c>
      <c r="B633" s="130"/>
      <c r="C633" s="138"/>
      <c r="D633" s="139"/>
      <c r="E633" s="139"/>
      <c r="F633" s="140"/>
    </row>
    <row r="634" spans="1:6" x14ac:dyDescent="0.2">
      <c r="A634" s="126">
        <v>81337</v>
      </c>
      <c r="B634" s="127"/>
      <c r="C634" s="126" t="s">
        <v>878</v>
      </c>
      <c r="D634" s="128"/>
      <c r="E634" s="128"/>
      <c r="F634" s="127"/>
    </row>
    <row r="635" spans="1:6" x14ac:dyDescent="0.2">
      <c r="A635" s="129" t="s">
        <v>879</v>
      </c>
      <c r="B635" s="130"/>
      <c r="C635" s="129" t="s">
        <v>880</v>
      </c>
      <c r="D635" s="131"/>
      <c r="E635" s="131"/>
      <c r="F635" s="130"/>
    </row>
    <row r="636" spans="1:6" ht="27" customHeight="1" x14ac:dyDescent="0.2">
      <c r="A636" s="129" t="s">
        <v>881</v>
      </c>
      <c r="B636" s="130"/>
      <c r="C636" s="138"/>
      <c r="D636" s="139"/>
      <c r="E636" s="139"/>
      <c r="F636" s="140"/>
    </row>
    <row r="637" spans="1:6" x14ac:dyDescent="0.2">
      <c r="A637" s="126">
        <v>81338</v>
      </c>
      <c r="B637" s="127"/>
      <c r="C637" s="126" t="s">
        <v>882</v>
      </c>
      <c r="D637" s="128"/>
      <c r="E637" s="128"/>
      <c r="F637" s="127"/>
    </row>
    <row r="638" spans="1:6" x14ac:dyDescent="0.2">
      <c r="A638" s="129" t="s">
        <v>883</v>
      </c>
      <c r="B638" s="130"/>
      <c r="C638" s="129" t="s">
        <v>884</v>
      </c>
      <c r="D638" s="131"/>
      <c r="E638" s="131"/>
      <c r="F638" s="130"/>
    </row>
    <row r="639" spans="1:6" x14ac:dyDescent="0.2">
      <c r="A639" s="129" t="s">
        <v>885</v>
      </c>
      <c r="B639" s="130"/>
      <c r="C639" s="138"/>
      <c r="D639" s="139"/>
      <c r="E639" s="139"/>
      <c r="F639" s="140"/>
    </row>
    <row r="640" spans="1:6" x14ac:dyDescent="0.2">
      <c r="A640" s="126">
        <v>81340</v>
      </c>
      <c r="B640" s="127"/>
      <c r="C640" s="126" t="s">
        <v>886</v>
      </c>
      <c r="D640" s="128"/>
      <c r="E640" s="128"/>
      <c r="F640" s="127"/>
    </row>
    <row r="641" spans="1:6" x14ac:dyDescent="0.2">
      <c r="A641" s="129" t="s">
        <v>887</v>
      </c>
      <c r="B641" s="130"/>
      <c r="C641" s="129" t="s">
        <v>888</v>
      </c>
      <c r="D641" s="131"/>
      <c r="E641" s="131"/>
      <c r="F641" s="130"/>
    </row>
    <row r="642" spans="1:6" ht="18" customHeight="1" x14ac:dyDescent="0.2">
      <c r="A642" s="129" t="s">
        <v>889</v>
      </c>
      <c r="B642" s="130"/>
      <c r="C642" s="138"/>
      <c r="D642" s="139"/>
      <c r="E642" s="139"/>
      <c r="F642" s="140"/>
    </row>
    <row r="643" spans="1:6" x14ac:dyDescent="0.2">
      <c r="A643" s="126">
        <v>81341</v>
      </c>
      <c r="B643" s="127"/>
      <c r="C643" s="126" t="s">
        <v>689</v>
      </c>
      <c r="D643" s="128"/>
      <c r="E643" s="128"/>
      <c r="F643" s="127"/>
    </row>
    <row r="644" spans="1:6" x14ac:dyDescent="0.2">
      <c r="A644" s="129" t="s">
        <v>890</v>
      </c>
      <c r="B644" s="130"/>
      <c r="C644" s="129" t="s">
        <v>891</v>
      </c>
      <c r="D644" s="131"/>
      <c r="E644" s="131"/>
      <c r="F644" s="130"/>
    </row>
    <row r="645" spans="1:6" ht="27" customHeight="1" x14ac:dyDescent="0.2">
      <c r="A645" s="129" t="s">
        <v>892</v>
      </c>
      <c r="B645" s="130"/>
      <c r="C645" s="129" t="s">
        <v>893</v>
      </c>
      <c r="D645" s="131"/>
      <c r="E645" s="131"/>
      <c r="F645" s="130"/>
    </row>
    <row r="646" spans="1:6" x14ac:dyDescent="0.2">
      <c r="A646" s="126">
        <v>81342</v>
      </c>
      <c r="B646" s="127"/>
      <c r="C646" s="126" t="s">
        <v>894</v>
      </c>
      <c r="D646" s="128"/>
      <c r="E646" s="128"/>
      <c r="F646" s="127"/>
    </row>
    <row r="647" spans="1:6" x14ac:dyDescent="0.2">
      <c r="A647" s="129" t="s">
        <v>895</v>
      </c>
      <c r="B647" s="130"/>
      <c r="C647" s="129" t="s">
        <v>896</v>
      </c>
      <c r="D647" s="131"/>
      <c r="E647" s="131"/>
      <c r="F647" s="130"/>
    </row>
    <row r="648" spans="1:6" ht="18" customHeight="1" x14ac:dyDescent="0.2">
      <c r="A648" s="129" t="s">
        <v>897</v>
      </c>
      <c r="B648" s="130"/>
      <c r="C648" s="129" t="s">
        <v>898</v>
      </c>
      <c r="D648" s="131"/>
      <c r="E648" s="131"/>
      <c r="F648" s="130"/>
    </row>
    <row r="649" spans="1:6" x14ac:dyDescent="0.2">
      <c r="A649" s="126">
        <v>81343</v>
      </c>
      <c r="B649" s="127"/>
      <c r="C649" s="126" t="s">
        <v>691</v>
      </c>
      <c r="D649" s="128"/>
      <c r="E649" s="128"/>
      <c r="F649" s="127"/>
    </row>
    <row r="650" spans="1:6" ht="18" customHeight="1" x14ac:dyDescent="0.2">
      <c r="A650" s="129" t="s">
        <v>899</v>
      </c>
      <c r="B650" s="130"/>
      <c r="C650" s="129" t="s">
        <v>900</v>
      </c>
      <c r="D650" s="131"/>
      <c r="E650" s="131"/>
      <c r="F650" s="130"/>
    </row>
    <row r="651" spans="1:6" ht="81" customHeight="1" x14ac:dyDescent="0.2">
      <c r="A651" s="129" t="s">
        <v>901</v>
      </c>
      <c r="B651" s="130"/>
      <c r="C651" s="129" t="s">
        <v>902</v>
      </c>
      <c r="D651" s="131"/>
      <c r="E651" s="131"/>
      <c r="F651" s="130"/>
    </row>
    <row r="652" spans="1:6" x14ac:dyDescent="0.2">
      <c r="A652" s="126">
        <v>81344</v>
      </c>
      <c r="B652" s="127"/>
      <c r="C652" s="126" t="s">
        <v>903</v>
      </c>
      <c r="D652" s="128"/>
      <c r="E652" s="128"/>
      <c r="F652" s="127"/>
    </row>
    <row r="653" spans="1:6" x14ac:dyDescent="0.2">
      <c r="A653" s="129" t="s">
        <v>904</v>
      </c>
      <c r="B653" s="130"/>
      <c r="C653" s="129" t="s">
        <v>905</v>
      </c>
      <c r="D653" s="131"/>
      <c r="E653" s="131"/>
      <c r="F653" s="130"/>
    </row>
    <row r="654" spans="1:6" ht="18" customHeight="1" x14ac:dyDescent="0.2">
      <c r="A654" s="129" t="s">
        <v>906</v>
      </c>
      <c r="B654" s="130"/>
      <c r="C654" s="138"/>
      <c r="D654" s="139"/>
      <c r="E654" s="139"/>
      <c r="F654" s="140"/>
    </row>
    <row r="655" spans="1:6" x14ac:dyDescent="0.2">
      <c r="A655" s="126">
        <v>81345</v>
      </c>
      <c r="B655" s="127"/>
      <c r="C655" s="126" t="s">
        <v>907</v>
      </c>
      <c r="D655" s="128"/>
      <c r="E655" s="128"/>
      <c r="F655" s="127"/>
    </row>
    <row r="656" spans="1:6" x14ac:dyDescent="0.2">
      <c r="A656" s="129" t="s">
        <v>908</v>
      </c>
      <c r="B656" s="130"/>
      <c r="C656" s="129" t="s">
        <v>909</v>
      </c>
      <c r="D656" s="131"/>
      <c r="E656" s="131"/>
      <c r="F656" s="130"/>
    </row>
    <row r="657" spans="1:6" ht="36" customHeight="1" x14ac:dyDescent="0.2">
      <c r="A657" s="129" t="s">
        <v>910</v>
      </c>
      <c r="B657" s="130"/>
      <c r="C657" s="138"/>
      <c r="D657" s="139"/>
      <c r="E657" s="139"/>
      <c r="F657" s="140"/>
    </row>
    <row r="658" spans="1:6" x14ac:dyDescent="0.2">
      <c r="A658" s="126">
        <v>81347</v>
      </c>
      <c r="B658" s="127"/>
      <c r="C658" s="126" t="s">
        <v>911</v>
      </c>
      <c r="D658" s="128"/>
      <c r="E658" s="128"/>
      <c r="F658" s="127"/>
    </row>
    <row r="659" spans="1:6" x14ac:dyDescent="0.2">
      <c r="A659" s="129" t="s">
        <v>912</v>
      </c>
      <c r="B659" s="130"/>
      <c r="C659" s="129" t="s">
        <v>913</v>
      </c>
      <c r="D659" s="131"/>
      <c r="E659" s="131"/>
      <c r="F659" s="130"/>
    </row>
    <row r="660" spans="1:6" x14ac:dyDescent="0.2">
      <c r="A660" s="129" t="s">
        <v>914</v>
      </c>
      <c r="B660" s="130"/>
      <c r="C660" s="138"/>
      <c r="D660" s="139"/>
      <c r="E660" s="139"/>
      <c r="F660" s="140"/>
    </row>
    <row r="661" spans="1:6" x14ac:dyDescent="0.2">
      <c r="A661" s="126">
        <v>81348</v>
      </c>
      <c r="B661" s="127"/>
      <c r="C661" s="126" t="s">
        <v>693</v>
      </c>
      <c r="D661" s="128"/>
      <c r="E661" s="128"/>
      <c r="F661" s="127"/>
    </row>
    <row r="662" spans="1:6" x14ac:dyDescent="0.2">
      <c r="A662" s="129" t="s">
        <v>915</v>
      </c>
      <c r="B662" s="130"/>
      <c r="C662" s="129" t="s">
        <v>916</v>
      </c>
      <c r="D662" s="131"/>
      <c r="E662" s="131"/>
      <c r="F662" s="130"/>
    </row>
    <row r="663" spans="1:6" x14ac:dyDescent="0.2">
      <c r="A663" s="132" t="s">
        <v>917</v>
      </c>
      <c r="B663" s="133"/>
      <c r="C663" s="132" t="s">
        <v>918</v>
      </c>
      <c r="D663" s="134"/>
      <c r="E663" s="134"/>
      <c r="F663" s="133"/>
    </row>
    <row r="664" spans="1:6" ht="18" customHeight="1" x14ac:dyDescent="0.2">
      <c r="A664" s="141"/>
      <c r="B664" s="142"/>
      <c r="C664" s="141" t="s">
        <v>919</v>
      </c>
      <c r="D664" s="143"/>
      <c r="E664" s="143"/>
      <c r="F664" s="142"/>
    </row>
    <row r="665" spans="1:6" x14ac:dyDescent="0.2">
      <c r="A665" s="135"/>
      <c r="B665" s="136"/>
      <c r="C665" s="135" t="s">
        <v>920</v>
      </c>
      <c r="D665" s="137"/>
      <c r="E665" s="137"/>
      <c r="F665" s="136"/>
    </row>
    <row r="666" spans="1:6" x14ac:dyDescent="0.2">
      <c r="A666" s="126">
        <v>81350</v>
      </c>
      <c r="B666" s="127"/>
      <c r="C666" s="126" t="s">
        <v>921</v>
      </c>
      <c r="D666" s="128"/>
      <c r="E666" s="128"/>
      <c r="F666" s="127"/>
    </row>
    <row r="667" spans="1:6" x14ac:dyDescent="0.2">
      <c r="A667" s="129" t="s">
        <v>922</v>
      </c>
      <c r="B667" s="130"/>
      <c r="C667" s="129" t="s">
        <v>923</v>
      </c>
      <c r="D667" s="131"/>
      <c r="E667" s="131"/>
      <c r="F667" s="130"/>
    </row>
    <row r="668" spans="1:6" ht="27" customHeight="1" x14ac:dyDescent="0.2">
      <c r="A668" s="129" t="s">
        <v>924</v>
      </c>
      <c r="B668" s="130"/>
      <c r="C668" s="129" t="s">
        <v>925</v>
      </c>
      <c r="D668" s="131"/>
      <c r="E668" s="131"/>
      <c r="F668" s="130"/>
    </row>
    <row r="669" spans="1:6" x14ac:dyDescent="0.2">
      <c r="A669" s="126">
        <v>81351</v>
      </c>
      <c r="B669" s="127"/>
      <c r="C669" s="126" t="s">
        <v>695</v>
      </c>
      <c r="D669" s="128"/>
      <c r="E669" s="128"/>
      <c r="F669" s="127"/>
    </row>
    <row r="670" spans="1:6" x14ac:dyDescent="0.2">
      <c r="A670" s="129" t="s">
        <v>926</v>
      </c>
      <c r="B670" s="130"/>
      <c r="C670" s="129" t="s">
        <v>927</v>
      </c>
      <c r="D670" s="131"/>
      <c r="E670" s="131"/>
      <c r="F670" s="130"/>
    </row>
    <row r="671" spans="1:6" x14ac:dyDescent="0.2">
      <c r="A671" s="129" t="s">
        <v>928</v>
      </c>
      <c r="B671" s="130"/>
      <c r="C671" s="138"/>
      <c r="D671" s="139"/>
      <c r="E671" s="139"/>
      <c r="F671" s="140"/>
    </row>
    <row r="672" spans="1:6" x14ac:dyDescent="0.2">
      <c r="A672" s="126">
        <v>81352</v>
      </c>
      <c r="B672" s="127"/>
      <c r="C672" s="126" t="s">
        <v>697</v>
      </c>
      <c r="D672" s="128"/>
      <c r="E672" s="128"/>
      <c r="F672" s="127"/>
    </row>
    <row r="673" spans="1:6" x14ac:dyDescent="0.2">
      <c r="A673" s="129" t="s">
        <v>929</v>
      </c>
      <c r="B673" s="130"/>
      <c r="C673" s="129" t="s">
        <v>930</v>
      </c>
      <c r="D673" s="131"/>
      <c r="E673" s="131"/>
      <c r="F673" s="130"/>
    </row>
    <row r="674" spans="1:6" ht="27" customHeight="1" x14ac:dyDescent="0.2">
      <c r="A674" s="129" t="s">
        <v>931</v>
      </c>
      <c r="B674" s="130"/>
      <c r="C674" s="129" t="s">
        <v>932</v>
      </c>
      <c r="D674" s="131"/>
      <c r="E674" s="131"/>
      <c r="F674" s="130"/>
    </row>
    <row r="675" spans="1:6" x14ac:dyDescent="0.2">
      <c r="A675" s="126">
        <v>81431</v>
      </c>
      <c r="B675" s="127"/>
      <c r="C675" s="126" t="s">
        <v>933</v>
      </c>
      <c r="D675" s="128"/>
      <c r="E675" s="128"/>
      <c r="F675" s="127"/>
    </row>
    <row r="676" spans="1:6" x14ac:dyDescent="0.2">
      <c r="A676" s="129" t="s">
        <v>934</v>
      </c>
      <c r="B676" s="130"/>
      <c r="C676" s="129" t="s">
        <v>935</v>
      </c>
      <c r="D676" s="131"/>
      <c r="E676" s="131"/>
      <c r="F676" s="130"/>
    </row>
    <row r="677" spans="1:6" ht="27" customHeight="1" x14ac:dyDescent="0.2">
      <c r="A677" s="129" t="s">
        <v>936</v>
      </c>
      <c r="B677" s="130"/>
      <c r="C677" s="138"/>
      <c r="D677" s="139"/>
      <c r="E677" s="139"/>
      <c r="F677" s="140"/>
    </row>
    <row r="678" spans="1:6" x14ac:dyDescent="0.2">
      <c r="A678" s="126">
        <v>81432</v>
      </c>
      <c r="B678" s="127"/>
      <c r="C678" s="126" t="s">
        <v>937</v>
      </c>
      <c r="D678" s="128"/>
      <c r="E678" s="128"/>
      <c r="F678" s="127"/>
    </row>
    <row r="679" spans="1:6" x14ac:dyDescent="0.2">
      <c r="A679" s="129" t="s">
        <v>938</v>
      </c>
      <c r="B679" s="130"/>
      <c r="C679" s="129" t="s">
        <v>939</v>
      </c>
      <c r="D679" s="131"/>
      <c r="E679" s="131"/>
      <c r="F679" s="130"/>
    </row>
    <row r="680" spans="1:6" ht="27" customHeight="1" x14ac:dyDescent="0.2">
      <c r="A680" s="129" t="s">
        <v>940</v>
      </c>
      <c r="B680" s="130"/>
      <c r="C680" s="138"/>
      <c r="D680" s="139"/>
      <c r="E680" s="139"/>
      <c r="F680" s="140"/>
    </row>
    <row r="681" spans="1:6" x14ac:dyDescent="0.2">
      <c r="A681" s="126">
        <v>81433</v>
      </c>
      <c r="B681" s="127"/>
      <c r="C681" s="126" t="s">
        <v>941</v>
      </c>
      <c r="D681" s="128"/>
      <c r="E681" s="128"/>
      <c r="F681" s="127"/>
    </row>
    <row r="682" spans="1:6" x14ac:dyDescent="0.2">
      <c r="A682" s="129" t="s">
        <v>942</v>
      </c>
      <c r="B682" s="130"/>
      <c r="C682" s="129" t="s">
        <v>943</v>
      </c>
      <c r="D682" s="131"/>
      <c r="E682" s="131"/>
      <c r="F682" s="130"/>
    </row>
    <row r="683" spans="1:6" ht="27" customHeight="1" x14ac:dyDescent="0.2">
      <c r="A683" s="129" t="s">
        <v>944</v>
      </c>
      <c r="B683" s="130"/>
      <c r="C683" s="129" t="s">
        <v>945</v>
      </c>
      <c r="D683" s="131"/>
      <c r="E683" s="131"/>
      <c r="F683" s="130"/>
    </row>
    <row r="684" spans="1:6" x14ac:dyDescent="0.2">
      <c r="A684" s="126">
        <v>81434</v>
      </c>
      <c r="B684" s="127"/>
      <c r="C684" s="126" t="s">
        <v>946</v>
      </c>
      <c r="D684" s="128"/>
      <c r="E684" s="128"/>
      <c r="F684" s="127"/>
    </row>
    <row r="685" spans="1:6" x14ac:dyDescent="0.2">
      <c r="A685" s="129" t="s">
        <v>947</v>
      </c>
      <c r="B685" s="130"/>
      <c r="C685" s="129" t="s">
        <v>948</v>
      </c>
      <c r="D685" s="131"/>
      <c r="E685" s="131"/>
      <c r="F685" s="130"/>
    </row>
    <row r="686" spans="1:6" x14ac:dyDescent="0.2">
      <c r="A686" s="132" t="s">
        <v>949</v>
      </c>
      <c r="B686" s="133"/>
      <c r="C686" s="132" t="s">
        <v>950</v>
      </c>
      <c r="D686" s="134"/>
      <c r="E686" s="134"/>
      <c r="F686" s="133"/>
    </row>
    <row r="687" spans="1:6" ht="27" customHeight="1" x14ac:dyDescent="0.2">
      <c r="A687" s="135"/>
      <c r="B687" s="136"/>
      <c r="C687" s="135" t="s">
        <v>951</v>
      </c>
      <c r="D687" s="137"/>
      <c r="E687" s="137"/>
      <c r="F687" s="136"/>
    </row>
    <row r="688" spans="1:6" x14ac:dyDescent="0.2">
      <c r="A688" s="126">
        <v>81435</v>
      </c>
      <c r="B688" s="127"/>
      <c r="C688" s="126" t="s">
        <v>952</v>
      </c>
      <c r="D688" s="128"/>
      <c r="E688" s="128"/>
      <c r="F688" s="127"/>
    </row>
    <row r="689" spans="1:6" ht="18" customHeight="1" x14ac:dyDescent="0.2">
      <c r="A689" s="129" t="s">
        <v>953</v>
      </c>
      <c r="B689" s="130"/>
      <c r="C689" s="129" t="s">
        <v>954</v>
      </c>
      <c r="D689" s="131"/>
      <c r="E689" s="131"/>
      <c r="F689" s="130"/>
    </row>
    <row r="690" spans="1:6" ht="63" customHeight="1" x14ac:dyDescent="0.2">
      <c r="A690" s="129" t="s">
        <v>955</v>
      </c>
      <c r="B690" s="130"/>
      <c r="C690" s="129" t="s">
        <v>956</v>
      </c>
      <c r="D690" s="131"/>
      <c r="E690" s="131"/>
      <c r="F690" s="130"/>
    </row>
    <row r="691" spans="1:6" x14ac:dyDescent="0.2">
      <c r="A691" s="126">
        <v>81436</v>
      </c>
      <c r="B691" s="127"/>
      <c r="C691" s="126" t="s">
        <v>957</v>
      </c>
      <c r="D691" s="128"/>
      <c r="E691" s="128"/>
      <c r="F691" s="127"/>
    </row>
    <row r="692" spans="1:6" x14ac:dyDescent="0.2">
      <c r="A692" s="129" t="s">
        <v>958</v>
      </c>
      <c r="B692" s="130"/>
      <c r="C692" s="129" t="s">
        <v>959</v>
      </c>
      <c r="D692" s="131"/>
      <c r="E692" s="131"/>
      <c r="F692" s="130"/>
    </row>
    <row r="693" spans="1:6" ht="27" customHeight="1" x14ac:dyDescent="0.2">
      <c r="A693" s="129" t="s">
        <v>960</v>
      </c>
      <c r="B693" s="130"/>
      <c r="C693" s="138"/>
      <c r="D693" s="139"/>
      <c r="E693" s="139"/>
      <c r="F693" s="140"/>
    </row>
    <row r="694" spans="1:6" x14ac:dyDescent="0.2">
      <c r="A694" s="126">
        <v>81437</v>
      </c>
      <c r="B694" s="127"/>
      <c r="C694" s="126" t="s">
        <v>961</v>
      </c>
      <c r="D694" s="128"/>
      <c r="E694" s="128"/>
      <c r="F694" s="127"/>
    </row>
    <row r="695" spans="1:6" x14ac:dyDescent="0.2">
      <c r="A695" s="129" t="s">
        <v>962</v>
      </c>
      <c r="B695" s="130"/>
      <c r="C695" s="129" t="s">
        <v>963</v>
      </c>
      <c r="D695" s="131"/>
      <c r="E695" s="131"/>
      <c r="F695" s="130"/>
    </row>
    <row r="696" spans="1:6" ht="27" customHeight="1" x14ac:dyDescent="0.2">
      <c r="A696" s="129" t="s">
        <v>964</v>
      </c>
      <c r="B696" s="130"/>
      <c r="C696" s="138"/>
      <c r="D696" s="139"/>
      <c r="E696" s="139"/>
      <c r="F696" s="140"/>
    </row>
    <row r="697" spans="1:6" x14ac:dyDescent="0.2">
      <c r="A697" s="126">
        <v>81438</v>
      </c>
      <c r="B697" s="127"/>
      <c r="C697" s="126" t="s">
        <v>965</v>
      </c>
      <c r="D697" s="128"/>
      <c r="E697" s="128"/>
      <c r="F697" s="127"/>
    </row>
    <row r="698" spans="1:6" x14ac:dyDescent="0.2">
      <c r="A698" s="129" t="s">
        <v>966</v>
      </c>
      <c r="B698" s="130"/>
      <c r="C698" s="129" t="s">
        <v>967</v>
      </c>
      <c r="D698" s="131"/>
      <c r="E698" s="131"/>
      <c r="F698" s="130"/>
    </row>
    <row r="699" spans="1:6" ht="27" customHeight="1" x14ac:dyDescent="0.2">
      <c r="A699" s="129" t="s">
        <v>968</v>
      </c>
      <c r="B699" s="130"/>
      <c r="C699" s="129" t="s">
        <v>969</v>
      </c>
      <c r="D699" s="131"/>
      <c r="E699" s="131"/>
      <c r="F699" s="130"/>
    </row>
    <row r="700" spans="1:6" x14ac:dyDescent="0.2">
      <c r="A700" s="126">
        <v>81440</v>
      </c>
      <c r="B700" s="127"/>
      <c r="C700" s="126" t="s">
        <v>970</v>
      </c>
      <c r="D700" s="128"/>
      <c r="E700" s="128"/>
      <c r="F700" s="127"/>
    </row>
    <row r="701" spans="1:6" x14ac:dyDescent="0.2">
      <c r="A701" s="129" t="s">
        <v>971</v>
      </c>
      <c r="B701" s="130"/>
      <c r="C701" s="129" t="s">
        <v>972</v>
      </c>
      <c r="D701" s="131"/>
      <c r="E701" s="131"/>
      <c r="F701" s="130"/>
    </row>
    <row r="702" spans="1:6" ht="36" customHeight="1" x14ac:dyDescent="0.2">
      <c r="A702" s="129" t="s">
        <v>973</v>
      </c>
      <c r="B702" s="130"/>
      <c r="C702" s="138"/>
      <c r="D702" s="139"/>
      <c r="E702" s="139"/>
      <c r="F702" s="140"/>
    </row>
    <row r="703" spans="1:6" x14ac:dyDescent="0.2">
      <c r="A703" s="126">
        <v>81441</v>
      </c>
      <c r="B703" s="127"/>
      <c r="C703" s="126" t="s">
        <v>974</v>
      </c>
      <c r="D703" s="128"/>
      <c r="E703" s="128"/>
      <c r="F703" s="127"/>
    </row>
    <row r="704" spans="1:6" x14ac:dyDescent="0.2">
      <c r="A704" s="129" t="s">
        <v>975</v>
      </c>
      <c r="B704" s="130"/>
      <c r="C704" s="129" t="s">
        <v>976</v>
      </c>
      <c r="D704" s="131"/>
      <c r="E704" s="131"/>
      <c r="F704" s="130"/>
    </row>
    <row r="705" spans="1:6" ht="36" customHeight="1" x14ac:dyDescent="0.2">
      <c r="A705" s="129" t="s">
        <v>977</v>
      </c>
      <c r="B705" s="130"/>
      <c r="C705" s="138"/>
      <c r="D705" s="139"/>
      <c r="E705" s="139"/>
      <c r="F705" s="140"/>
    </row>
    <row r="706" spans="1:6" x14ac:dyDescent="0.2">
      <c r="A706" s="126">
        <v>81442</v>
      </c>
      <c r="B706" s="127"/>
      <c r="C706" s="126" t="s">
        <v>978</v>
      </c>
      <c r="D706" s="128"/>
      <c r="E706" s="128"/>
      <c r="F706" s="127"/>
    </row>
    <row r="707" spans="1:6" x14ac:dyDescent="0.2">
      <c r="A707" s="129" t="s">
        <v>979</v>
      </c>
      <c r="B707" s="130"/>
      <c r="C707" s="129" t="s">
        <v>980</v>
      </c>
      <c r="D707" s="131"/>
      <c r="E707" s="131"/>
      <c r="F707" s="130"/>
    </row>
    <row r="708" spans="1:6" ht="27" customHeight="1" x14ac:dyDescent="0.2">
      <c r="A708" s="129" t="s">
        <v>981</v>
      </c>
      <c r="B708" s="130"/>
      <c r="C708" s="129" t="s">
        <v>714</v>
      </c>
      <c r="D708" s="131"/>
      <c r="E708" s="131"/>
      <c r="F708" s="130"/>
    </row>
    <row r="709" spans="1:6" x14ac:dyDescent="0.2">
      <c r="A709" s="126">
        <v>81443</v>
      </c>
      <c r="B709" s="127"/>
      <c r="C709" s="126" t="s">
        <v>982</v>
      </c>
      <c r="D709" s="128"/>
      <c r="E709" s="128"/>
      <c r="F709" s="127"/>
    </row>
    <row r="710" spans="1:6" x14ac:dyDescent="0.2">
      <c r="A710" s="129" t="s">
        <v>983</v>
      </c>
      <c r="B710" s="130"/>
      <c r="C710" s="129" t="s">
        <v>984</v>
      </c>
      <c r="D710" s="131"/>
      <c r="E710" s="131"/>
      <c r="F710" s="130"/>
    </row>
    <row r="711" spans="1:6" ht="18" customHeight="1" x14ac:dyDescent="0.2">
      <c r="A711" s="129" t="s">
        <v>985</v>
      </c>
      <c r="B711" s="130"/>
      <c r="C711" s="129" t="s">
        <v>986</v>
      </c>
      <c r="D711" s="131"/>
      <c r="E711" s="131"/>
      <c r="F711" s="130"/>
    </row>
    <row r="712" spans="1:6" x14ac:dyDescent="0.2">
      <c r="A712" s="126">
        <v>81444</v>
      </c>
      <c r="B712" s="127"/>
      <c r="C712" s="126" t="s">
        <v>987</v>
      </c>
      <c r="D712" s="128"/>
      <c r="E712" s="128"/>
      <c r="F712" s="127"/>
    </row>
    <row r="713" spans="1:6" x14ac:dyDescent="0.2">
      <c r="A713" s="129" t="s">
        <v>988</v>
      </c>
      <c r="B713" s="130"/>
      <c r="C713" s="129" t="s">
        <v>989</v>
      </c>
      <c r="D713" s="131"/>
      <c r="E713" s="131"/>
      <c r="F713" s="130"/>
    </row>
    <row r="714" spans="1:6" ht="27" customHeight="1" x14ac:dyDescent="0.2">
      <c r="A714" s="129" t="s">
        <v>990</v>
      </c>
      <c r="B714" s="130"/>
      <c r="C714" s="129" t="s">
        <v>991</v>
      </c>
      <c r="D714" s="131"/>
      <c r="E714" s="131"/>
      <c r="F714" s="130"/>
    </row>
    <row r="715" spans="1:6" x14ac:dyDescent="0.2">
      <c r="A715" s="126">
        <v>81446</v>
      </c>
      <c r="B715" s="127"/>
      <c r="C715" s="126" t="s">
        <v>992</v>
      </c>
      <c r="D715" s="128"/>
      <c r="E715" s="128"/>
      <c r="F715" s="127"/>
    </row>
    <row r="716" spans="1:6" x14ac:dyDescent="0.2">
      <c r="A716" s="129" t="s">
        <v>993</v>
      </c>
      <c r="B716" s="130"/>
      <c r="C716" s="129" t="s">
        <v>994</v>
      </c>
      <c r="D716" s="131"/>
      <c r="E716" s="131"/>
      <c r="F716" s="130"/>
    </row>
    <row r="717" spans="1:6" ht="54" customHeight="1" x14ac:dyDescent="0.2">
      <c r="A717" s="129" t="s">
        <v>995</v>
      </c>
      <c r="B717" s="130"/>
      <c r="C717" s="129" t="s">
        <v>996</v>
      </c>
      <c r="D717" s="131"/>
      <c r="E717" s="131"/>
      <c r="F717" s="130"/>
    </row>
    <row r="718" spans="1:6" x14ac:dyDescent="0.2">
      <c r="A718" s="126">
        <v>81447</v>
      </c>
      <c r="B718" s="127"/>
      <c r="C718" s="126" t="s">
        <v>997</v>
      </c>
      <c r="D718" s="128"/>
      <c r="E718" s="128"/>
      <c r="F718" s="127"/>
    </row>
    <row r="719" spans="1:6" x14ac:dyDescent="0.2">
      <c r="A719" s="129" t="s">
        <v>998</v>
      </c>
      <c r="B719" s="130"/>
      <c r="C719" s="129" t="s">
        <v>999</v>
      </c>
      <c r="D719" s="131"/>
      <c r="E719" s="131"/>
      <c r="F719" s="130"/>
    </row>
    <row r="720" spans="1:6" ht="18" customHeight="1" x14ac:dyDescent="0.2">
      <c r="A720" s="129" t="s">
        <v>1000</v>
      </c>
      <c r="B720" s="130"/>
      <c r="C720" s="129" t="s">
        <v>1001</v>
      </c>
      <c r="D720" s="131"/>
      <c r="E720" s="131"/>
      <c r="F720" s="130"/>
    </row>
    <row r="721" spans="1:6" x14ac:dyDescent="0.2">
      <c r="A721" s="126">
        <v>81448</v>
      </c>
      <c r="B721" s="127"/>
      <c r="C721" s="126" t="s">
        <v>1002</v>
      </c>
      <c r="D721" s="128"/>
      <c r="E721" s="128"/>
      <c r="F721" s="127"/>
    </row>
    <row r="722" spans="1:6" ht="18" customHeight="1" x14ac:dyDescent="0.2">
      <c r="A722" s="129" t="s">
        <v>1003</v>
      </c>
      <c r="B722" s="130"/>
      <c r="C722" s="129" t="s">
        <v>1001</v>
      </c>
      <c r="D722" s="131"/>
      <c r="E722" s="131"/>
      <c r="F722" s="130"/>
    </row>
    <row r="723" spans="1:6" ht="27" customHeight="1" x14ac:dyDescent="0.2">
      <c r="A723" s="129" t="s">
        <v>1004</v>
      </c>
      <c r="B723" s="130"/>
      <c r="C723" s="129" t="s">
        <v>1005</v>
      </c>
      <c r="D723" s="131"/>
      <c r="E723" s="131"/>
      <c r="F723" s="130"/>
    </row>
    <row r="724" spans="1:6" x14ac:dyDescent="0.2">
      <c r="A724" s="126">
        <v>81450</v>
      </c>
      <c r="B724" s="127"/>
      <c r="C724" s="126" t="s">
        <v>1006</v>
      </c>
      <c r="D724" s="128"/>
      <c r="E724" s="128"/>
      <c r="F724" s="127"/>
    </row>
    <row r="725" spans="1:6" ht="36" customHeight="1" x14ac:dyDescent="0.2">
      <c r="A725" s="129" t="s">
        <v>1007</v>
      </c>
      <c r="B725" s="130"/>
      <c r="C725" s="129" t="s">
        <v>1008</v>
      </c>
      <c r="D725" s="131"/>
      <c r="E725" s="131"/>
      <c r="F725" s="130"/>
    </row>
    <row r="726" spans="1:6" ht="81" customHeight="1" x14ac:dyDescent="0.2">
      <c r="A726" s="129" t="s">
        <v>1009</v>
      </c>
      <c r="B726" s="130"/>
      <c r="C726" s="129" t="s">
        <v>1010</v>
      </c>
      <c r="D726" s="131"/>
      <c r="E726" s="131"/>
      <c r="F726" s="130"/>
    </row>
    <row r="727" spans="1:6" x14ac:dyDescent="0.2">
      <c r="A727" s="126">
        <v>81451</v>
      </c>
      <c r="B727" s="127"/>
      <c r="C727" s="126" t="s">
        <v>700</v>
      </c>
      <c r="D727" s="128"/>
      <c r="E727" s="128"/>
      <c r="F727" s="127"/>
    </row>
    <row r="728" spans="1:6" x14ac:dyDescent="0.2">
      <c r="A728" s="129" t="s">
        <v>1011</v>
      </c>
      <c r="B728" s="130"/>
      <c r="C728" s="129" t="s">
        <v>1012</v>
      </c>
      <c r="D728" s="131"/>
      <c r="E728" s="131"/>
      <c r="F728" s="130"/>
    </row>
    <row r="729" spans="1:6" ht="18" customHeight="1" x14ac:dyDescent="0.2">
      <c r="A729" s="132" t="s">
        <v>1013</v>
      </c>
      <c r="B729" s="133"/>
      <c r="C729" s="132" t="s">
        <v>1014</v>
      </c>
      <c r="D729" s="134"/>
      <c r="E729" s="134"/>
      <c r="F729" s="133"/>
    </row>
    <row r="730" spans="1:6" x14ac:dyDescent="0.2">
      <c r="A730" s="135"/>
      <c r="B730" s="136"/>
      <c r="C730" s="135" t="s">
        <v>1015</v>
      </c>
      <c r="D730" s="137"/>
      <c r="E730" s="137"/>
      <c r="F730" s="136"/>
    </row>
    <row r="731" spans="1:6" x14ac:dyDescent="0.2">
      <c r="A731" s="126">
        <v>81471</v>
      </c>
      <c r="B731" s="127"/>
      <c r="C731" s="126" t="s">
        <v>702</v>
      </c>
      <c r="D731" s="128"/>
      <c r="E731" s="128"/>
      <c r="F731" s="127"/>
    </row>
    <row r="732" spans="1:6" ht="18" customHeight="1" x14ac:dyDescent="0.2">
      <c r="A732" s="132" t="s">
        <v>1016</v>
      </c>
      <c r="B732" s="133"/>
      <c r="C732" s="132" t="s">
        <v>1014</v>
      </c>
      <c r="D732" s="134"/>
      <c r="E732" s="134"/>
      <c r="F732" s="133"/>
    </row>
    <row r="733" spans="1:6" x14ac:dyDescent="0.2">
      <c r="A733" s="135"/>
      <c r="B733" s="136"/>
      <c r="C733" s="135" t="s">
        <v>1015</v>
      </c>
      <c r="D733" s="137"/>
      <c r="E733" s="137"/>
      <c r="F733" s="136"/>
    </row>
    <row r="734" spans="1:6" x14ac:dyDescent="0.2">
      <c r="A734" s="132" t="s">
        <v>1017</v>
      </c>
      <c r="B734" s="133"/>
      <c r="C734" s="132" t="s">
        <v>1018</v>
      </c>
      <c r="D734" s="134"/>
      <c r="E734" s="134"/>
      <c r="F734" s="133"/>
    </row>
    <row r="735" spans="1:6" ht="18" customHeight="1" x14ac:dyDescent="0.2">
      <c r="A735" s="135"/>
      <c r="B735" s="136"/>
      <c r="C735" s="135" t="s">
        <v>1019</v>
      </c>
      <c r="D735" s="137"/>
      <c r="E735" s="137"/>
      <c r="F735" s="136"/>
    </row>
    <row r="736" spans="1:6" x14ac:dyDescent="0.2">
      <c r="A736" s="126">
        <v>81472</v>
      </c>
      <c r="B736" s="127"/>
      <c r="C736" s="126" t="s">
        <v>704</v>
      </c>
      <c r="D736" s="128"/>
      <c r="E736" s="128"/>
      <c r="F736" s="127"/>
    </row>
    <row r="737" spans="1:6" ht="18" customHeight="1" x14ac:dyDescent="0.2">
      <c r="A737" s="129" t="s">
        <v>1020</v>
      </c>
      <c r="B737" s="130"/>
      <c r="C737" s="129" t="s">
        <v>1021</v>
      </c>
      <c r="D737" s="131"/>
      <c r="E737" s="131"/>
      <c r="F737" s="130"/>
    </row>
    <row r="738" spans="1:6" ht="63" customHeight="1" x14ac:dyDescent="0.2">
      <c r="A738" s="129" t="s">
        <v>1022</v>
      </c>
      <c r="B738" s="130"/>
      <c r="C738" s="129" t="s">
        <v>1023</v>
      </c>
      <c r="D738" s="131"/>
      <c r="E738" s="131"/>
      <c r="F738" s="130"/>
    </row>
    <row r="739" spans="1:6" x14ac:dyDescent="0.2">
      <c r="A739" s="126">
        <v>81473</v>
      </c>
      <c r="B739" s="127"/>
      <c r="C739" s="126" t="s">
        <v>1024</v>
      </c>
      <c r="D739" s="128"/>
      <c r="E739" s="128"/>
      <c r="F739" s="127"/>
    </row>
    <row r="740" spans="1:6" ht="18" customHeight="1" x14ac:dyDescent="0.2">
      <c r="A740" s="129" t="s">
        <v>1025</v>
      </c>
      <c r="B740" s="130"/>
      <c r="C740" s="129" t="s">
        <v>1026</v>
      </c>
      <c r="D740" s="131"/>
      <c r="E740" s="131"/>
      <c r="F740" s="130"/>
    </row>
    <row r="741" spans="1:6" ht="42" customHeight="1" x14ac:dyDescent="0.2">
      <c r="A741" s="132" t="s">
        <v>1027</v>
      </c>
      <c r="B741" s="133"/>
      <c r="C741" s="132" t="s">
        <v>1028</v>
      </c>
      <c r="D741" s="134"/>
      <c r="E741" s="134"/>
      <c r="F741" s="133"/>
    </row>
    <row r="742" spans="1:6" x14ac:dyDescent="0.2">
      <c r="A742" s="141"/>
      <c r="B742" s="142"/>
      <c r="C742" s="141" t="s">
        <v>1029</v>
      </c>
      <c r="D742" s="143"/>
      <c r="E742" s="143"/>
      <c r="F742" s="142"/>
    </row>
    <row r="743" spans="1:6" x14ac:dyDescent="0.2">
      <c r="A743" s="135"/>
      <c r="B743" s="136"/>
      <c r="C743" s="135" t="s">
        <v>1030</v>
      </c>
      <c r="D743" s="137"/>
      <c r="E743" s="137"/>
      <c r="F743" s="136"/>
    </row>
    <row r="744" spans="1:6" x14ac:dyDescent="0.2">
      <c r="A744" s="126">
        <v>81474</v>
      </c>
      <c r="B744" s="127"/>
      <c r="C744" s="126" t="s">
        <v>1031</v>
      </c>
      <c r="D744" s="128"/>
      <c r="E744" s="128"/>
      <c r="F744" s="127"/>
    </row>
    <row r="745" spans="1:6" x14ac:dyDescent="0.2">
      <c r="A745" s="129" t="s">
        <v>1032</v>
      </c>
      <c r="B745" s="130"/>
      <c r="C745" s="129" t="s">
        <v>1033</v>
      </c>
      <c r="D745" s="131"/>
      <c r="E745" s="131"/>
      <c r="F745" s="130"/>
    </row>
    <row r="746" spans="1:6" x14ac:dyDescent="0.2">
      <c r="A746" s="129" t="s">
        <v>1034</v>
      </c>
      <c r="B746" s="130"/>
      <c r="C746" s="129" t="s">
        <v>1035</v>
      </c>
      <c r="D746" s="131"/>
      <c r="E746" s="131"/>
      <c r="F746" s="130"/>
    </row>
    <row r="747" spans="1:6" x14ac:dyDescent="0.2">
      <c r="A747" s="126">
        <v>81475</v>
      </c>
      <c r="B747" s="127"/>
      <c r="C747" s="126" t="s">
        <v>1036</v>
      </c>
      <c r="D747" s="128"/>
      <c r="E747" s="128"/>
      <c r="F747" s="127"/>
    </row>
    <row r="748" spans="1:6" ht="36" customHeight="1" x14ac:dyDescent="0.2">
      <c r="A748" s="129" t="s">
        <v>1037</v>
      </c>
      <c r="B748" s="130"/>
      <c r="C748" s="129" t="s">
        <v>1038</v>
      </c>
      <c r="D748" s="131"/>
      <c r="E748" s="131"/>
      <c r="F748" s="130"/>
    </row>
    <row r="749" spans="1:6" ht="63" customHeight="1" x14ac:dyDescent="0.2">
      <c r="A749" s="129" t="s">
        <v>1039</v>
      </c>
      <c r="B749" s="130"/>
      <c r="C749" s="129" t="s">
        <v>1040</v>
      </c>
      <c r="D749" s="131"/>
      <c r="E749" s="131"/>
      <c r="F749" s="130"/>
    </row>
    <row r="750" spans="1:6" x14ac:dyDescent="0.2">
      <c r="A750" s="126">
        <v>81476</v>
      </c>
      <c r="B750" s="127"/>
      <c r="C750" s="126" t="s">
        <v>1041</v>
      </c>
      <c r="D750" s="128"/>
      <c r="E750" s="128"/>
      <c r="F750" s="127"/>
    </row>
    <row r="751" spans="1:6" ht="54" customHeight="1" x14ac:dyDescent="0.2">
      <c r="A751" s="129" t="s">
        <v>1042</v>
      </c>
      <c r="B751" s="130"/>
      <c r="C751" s="129" t="s">
        <v>1043</v>
      </c>
      <c r="D751" s="131"/>
      <c r="E751" s="131"/>
      <c r="F751" s="130"/>
    </row>
    <row r="752" spans="1:6" ht="144" customHeight="1" x14ac:dyDescent="0.2">
      <c r="A752" s="129" t="s">
        <v>1044</v>
      </c>
      <c r="B752" s="130"/>
      <c r="C752" s="129" t="s">
        <v>1045</v>
      </c>
      <c r="D752" s="131"/>
      <c r="E752" s="131"/>
      <c r="F752" s="130"/>
    </row>
    <row r="753" spans="1:6" x14ac:dyDescent="0.2">
      <c r="A753" s="126">
        <v>81477</v>
      </c>
      <c r="B753" s="127"/>
      <c r="C753" s="126" t="s">
        <v>1046</v>
      </c>
      <c r="D753" s="128"/>
      <c r="E753" s="128"/>
      <c r="F753" s="127"/>
    </row>
    <row r="754" spans="1:6" x14ac:dyDescent="0.2">
      <c r="A754" s="129" t="s">
        <v>1047</v>
      </c>
      <c r="B754" s="130"/>
      <c r="C754" s="129" t="s">
        <v>1048</v>
      </c>
      <c r="D754" s="131"/>
      <c r="E754" s="131"/>
      <c r="F754" s="130"/>
    </row>
    <row r="755" spans="1:6" x14ac:dyDescent="0.2">
      <c r="A755" s="129" t="s">
        <v>1049</v>
      </c>
      <c r="B755" s="130"/>
      <c r="C755" s="129" t="s">
        <v>1050</v>
      </c>
      <c r="D755" s="131"/>
      <c r="E755" s="131"/>
      <c r="F755" s="130"/>
    </row>
    <row r="756" spans="1:6" x14ac:dyDescent="0.2">
      <c r="A756" s="126">
        <v>81501</v>
      </c>
      <c r="B756" s="127"/>
      <c r="C756" s="126" t="s">
        <v>1051</v>
      </c>
      <c r="D756" s="128"/>
      <c r="E756" s="128"/>
      <c r="F756" s="127"/>
    </row>
    <row r="757" spans="1:6" x14ac:dyDescent="0.2">
      <c r="A757" s="129" t="s">
        <v>1052</v>
      </c>
      <c r="B757" s="130"/>
      <c r="C757" s="138"/>
      <c r="D757" s="139"/>
      <c r="E757" s="139"/>
      <c r="F757" s="140"/>
    </row>
    <row r="758" spans="1:6" ht="36" customHeight="1" x14ac:dyDescent="0.2">
      <c r="A758" s="129" t="s">
        <v>1053</v>
      </c>
      <c r="B758" s="130"/>
      <c r="C758" s="138"/>
      <c r="D758" s="139"/>
      <c r="E758" s="139"/>
      <c r="F758" s="140"/>
    </row>
    <row r="759" spans="1:6" x14ac:dyDescent="0.2">
      <c r="A759" s="126">
        <v>81502</v>
      </c>
      <c r="B759" s="127"/>
      <c r="C759" s="126" t="s">
        <v>1054</v>
      </c>
      <c r="D759" s="128"/>
      <c r="E759" s="128"/>
      <c r="F759" s="127"/>
    </row>
    <row r="760" spans="1:6" x14ac:dyDescent="0.2">
      <c r="A760" s="129" t="s">
        <v>1055</v>
      </c>
      <c r="B760" s="130"/>
      <c r="C760" s="138"/>
      <c r="D760" s="139"/>
      <c r="E760" s="139"/>
      <c r="F760" s="140"/>
    </row>
    <row r="761" spans="1:6" ht="18" customHeight="1" x14ac:dyDescent="0.2">
      <c r="A761" s="129" t="s">
        <v>1056</v>
      </c>
      <c r="B761" s="130"/>
      <c r="C761" s="138"/>
      <c r="D761" s="139"/>
      <c r="E761" s="139"/>
      <c r="F761" s="140"/>
    </row>
    <row r="762" spans="1:6" x14ac:dyDescent="0.2">
      <c r="A762" s="126">
        <v>81503</v>
      </c>
      <c r="B762" s="127"/>
      <c r="C762" s="126" t="s">
        <v>1057</v>
      </c>
      <c r="D762" s="128"/>
      <c r="E762" s="128"/>
      <c r="F762" s="127"/>
    </row>
    <row r="763" spans="1:6" ht="18" customHeight="1" x14ac:dyDescent="0.2">
      <c r="A763" s="129" t="s">
        <v>1058</v>
      </c>
      <c r="B763" s="130"/>
      <c r="C763" s="138"/>
      <c r="D763" s="139"/>
      <c r="E763" s="139"/>
      <c r="F763" s="140"/>
    </row>
    <row r="764" spans="1:6" ht="27" customHeight="1" x14ac:dyDescent="0.2">
      <c r="A764" s="129" t="s">
        <v>1059</v>
      </c>
      <c r="B764" s="130"/>
      <c r="C764" s="138"/>
      <c r="D764" s="139"/>
      <c r="E764" s="139"/>
      <c r="F764" s="140"/>
    </row>
    <row r="765" spans="1:6" x14ac:dyDescent="0.2">
      <c r="A765" s="126">
        <v>81504</v>
      </c>
      <c r="B765" s="127"/>
      <c r="C765" s="126" t="s">
        <v>1060</v>
      </c>
      <c r="D765" s="128"/>
      <c r="E765" s="128"/>
      <c r="F765" s="127"/>
    </row>
    <row r="766" spans="1:6" x14ac:dyDescent="0.2">
      <c r="A766" s="129" t="s">
        <v>1061</v>
      </c>
      <c r="B766" s="130"/>
      <c r="C766" s="129" t="s">
        <v>1062</v>
      </c>
      <c r="D766" s="131"/>
      <c r="E766" s="131"/>
      <c r="F766" s="130"/>
    </row>
    <row r="767" spans="1:6" ht="18" customHeight="1" x14ac:dyDescent="0.2">
      <c r="A767" s="129" t="s">
        <v>1063</v>
      </c>
      <c r="B767" s="130"/>
      <c r="C767" s="138"/>
      <c r="D767" s="139"/>
      <c r="E767" s="139"/>
      <c r="F767" s="140"/>
    </row>
    <row r="768" spans="1:6" x14ac:dyDescent="0.2">
      <c r="A768" s="126">
        <v>81505</v>
      </c>
      <c r="B768" s="127"/>
      <c r="C768" s="126" t="s">
        <v>1064</v>
      </c>
      <c r="D768" s="128"/>
      <c r="E768" s="128"/>
      <c r="F768" s="127"/>
    </row>
    <row r="769" spans="1:6" x14ac:dyDescent="0.2">
      <c r="A769" s="129" t="s">
        <v>1065</v>
      </c>
      <c r="B769" s="130"/>
      <c r="C769" s="138"/>
      <c r="D769" s="139"/>
      <c r="E769" s="139"/>
      <c r="F769" s="140"/>
    </row>
    <row r="770" spans="1:6" ht="18" customHeight="1" x14ac:dyDescent="0.2">
      <c r="A770" s="129" t="s">
        <v>1066</v>
      </c>
      <c r="B770" s="130"/>
      <c r="C770" s="138"/>
      <c r="D770" s="139"/>
      <c r="E770" s="139"/>
      <c r="F770" s="140"/>
    </row>
    <row r="771" spans="1:6" x14ac:dyDescent="0.2">
      <c r="A771" s="126">
        <v>81506</v>
      </c>
      <c r="B771" s="127"/>
      <c r="C771" s="126" t="s">
        <v>1067</v>
      </c>
      <c r="D771" s="128"/>
      <c r="E771" s="128"/>
      <c r="F771" s="127"/>
    </row>
    <row r="772" spans="1:6" x14ac:dyDescent="0.2">
      <c r="A772" s="129" t="s">
        <v>1068</v>
      </c>
      <c r="B772" s="130"/>
      <c r="C772" s="138"/>
      <c r="D772" s="139"/>
      <c r="E772" s="139"/>
      <c r="F772" s="140"/>
    </row>
    <row r="773" spans="1:6" ht="27" customHeight="1" x14ac:dyDescent="0.2">
      <c r="A773" s="129" t="s">
        <v>1069</v>
      </c>
      <c r="B773" s="130"/>
      <c r="C773" s="138"/>
      <c r="D773" s="139"/>
      <c r="E773" s="139"/>
      <c r="F773" s="140"/>
    </row>
    <row r="774" spans="1:6" x14ac:dyDescent="0.2">
      <c r="A774" s="126">
        <v>81507</v>
      </c>
      <c r="B774" s="127"/>
      <c r="C774" s="126" t="s">
        <v>1070</v>
      </c>
      <c r="D774" s="128"/>
      <c r="E774" s="128"/>
      <c r="F774" s="127"/>
    </row>
    <row r="775" spans="1:6" x14ac:dyDescent="0.2">
      <c r="A775" s="129" t="s">
        <v>1071</v>
      </c>
      <c r="B775" s="130"/>
      <c r="C775" s="138"/>
      <c r="D775" s="139"/>
      <c r="E775" s="139"/>
      <c r="F775" s="140"/>
    </row>
    <row r="776" spans="1:6" ht="18" customHeight="1" x14ac:dyDescent="0.2">
      <c r="A776" s="129" t="s">
        <v>1072</v>
      </c>
      <c r="B776" s="130"/>
      <c r="C776" s="138"/>
      <c r="D776" s="139"/>
      <c r="E776" s="139"/>
      <c r="F776" s="140"/>
    </row>
    <row r="777" spans="1:6" x14ac:dyDescent="0.2">
      <c r="A777" s="126">
        <v>81508</v>
      </c>
      <c r="B777" s="127"/>
      <c r="C777" s="126" t="s">
        <v>1073</v>
      </c>
      <c r="D777" s="128"/>
      <c r="E777" s="128"/>
      <c r="F777" s="127"/>
    </row>
    <row r="778" spans="1:6" x14ac:dyDescent="0.2">
      <c r="A778" s="129" t="s">
        <v>1074</v>
      </c>
      <c r="B778" s="130"/>
      <c r="C778" s="138"/>
      <c r="D778" s="139"/>
      <c r="E778" s="139"/>
      <c r="F778" s="140"/>
    </row>
    <row r="779" spans="1:6" x14ac:dyDescent="0.2">
      <c r="A779" s="129" t="s">
        <v>1075</v>
      </c>
      <c r="B779" s="130"/>
      <c r="C779" s="138"/>
      <c r="D779" s="139"/>
      <c r="E779" s="139"/>
      <c r="F779" s="140"/>
    </row>
    <row r="780" spans="1:6" x14ac:dyDescent="0.2">
      <c r="A780" s="126">
        <v>81510</v>
      </c>
      <c r="B780" s="127"/>
      <c r="C780" s="126" t="s">
        <v>1076</v>
      </c>
      <c r="D780" s="128"/>
      <c r="E780" s="128"/>
      <c r="F780" s="127"/>
    </row>
    <row r="781" spans="1:6" x14ac:dyDescent="0.2">
      <c r="A781" s="129" t="s">
        <v>1077</v>
      </c>
      <c r="B781" s="130"/>
      <c r="C781" s="129" t="s">
        <v>1078</v>
      </c>
      <c r="D781" s="131"/>
      <c r="E781" s="131"/>
      <c r="F781" s="130"/>
    </row>
    <row r="782" spans="1:6" x14ac:dyDescent="0.2">
      <c r="A782" s="129" t="s">
        <v>1079</v>
      </c>
      <c r="B782" s="130"/>
      <c r="C782" s="138"/>
      <c r="D782" s="139"/>
      <c r="E782" s="139"/>
      <c r="F782" s="140"/>
    </row>
    <row r="783" spans="1:6" x14ac:dyDescent="0.2">
      <c r="A783" s="126">
        <v>81551</v>
      </c>
      <c r="B783" s="127"/>
      <c r="C783" s="126" t="s">
        <v>1080</v>
      </c>
      <c r="D783" s="128"/>
      <c r="E783" s="128"/>
      <c r="F783" s="127"/>
    </row>
    <row r="784" spans="1:6" x14ac:dyDescent="0.2">
      <c r="A784" s="129" t="s">
        <v>1081</v>
      </c>
      <c r="B784" s="130"/>
      <c r="C784" s="129" t="s">
        <v>1080</v>
      </c>
      <c r="D784" s="131"/>
      <c r="E784" s="131"/>
      <c r="F784" s="130"/>
    </row>
    <row r="785" spans="1:8" ht="18" customHeight="1" x14ac:dyDescent="0.2">
      <c r="A785" s="129" t="s">
        <v>1082</v>
      </c>
      <c r="B785" s="130"/>
      <c r="C785" s="138"/>
      <c r="D785" s="139"/>
      <c r="E785" s="139"/>
      <c r="F785" s="140"/>
    </row>
    <row r="786" spans="1:8" ht="16" x14ac:dyDescent="0.2">
      <c r="A786" s="57"/>
    </row>
    <row r="787" spans="1:8" ht="16" x14ac:dyDescent="0.2">
      <c r="A787" s="57"/>
    </row>
    <row r="788" spans="1:8" ht="16" x14ac:dyDescent="0.2">
      <c r="A788" s="57" t="s">
        <v>1083</v>
      </c>
    </row>
    <row r="789" spans="1:8" x14ac:dyDescent="0.2">
      <c r="A789" s="72"/>
      <c r="B789" s="113"/>
      <c r="C789" s="113"/>
      <c r="D789" s="73"/>
      <c r="E789" s="77" t="s">
        <v>253</v>
      </c>
      <c r="F789" s="77" t="s">
        <v>253</v>
      </c>
      <c r="G789" s="144"/>
      <c r="H789" s="145"/>
    </row>
    <row r="790" spans="1:8" x14ac:dyDescent="0.2">
      <c r="A790" s="84"/>
      <c r="B790" s="116"/>
      <c r="C790" s="116"/>
      <c r="D790" s="85"/>
      <c r="E790" s="83">
        <v>2023</v>
      </c>
      <c r="F790" s="83">
        <v>2024</v>
      </c>
      <c r="G790" s="146"/>
      <c r="H790" s="147"/>
    </row>
    <row r="791" spans="1:8" x14ac:dyDescent="0.2">
      <c r="A791" s="126" t="s">
        <v>1083</v>
      </c>
      <c r="B791" s="128"/>
      <c r="C791" s="128"/>
      <c r="D791" s="127"/>
      <c r="E791" s="86" t="s">
        <v>294</v>
      </c>
      <c r="F791" s="86" t="s">
        <v>294</v>
      </c>
      <c r="G791" s="148"/>
      <c r="H791" s="149"/>
    </row>
    <row r="792" spans="1:8" x14ac:dyDescent="0.2">
      <c r="A792" s="150"/>
      <c r="B792" s="107" t="s">
        <v>1051</v>
      </c>
      <c r="C792" s="108"/>
      <c r="D792" s="88">
        <v>81501</v>
      </c>
      <c r="E792" s="88">
        <v>588.20000000000005</v>
      </c>
      <c r="F792" s="88">
        <v>678.2</v>
      </c>
      <c r="G792" s="151"/>
      <c r="H792" s="152"/>
    </row>
    <row r="793" spans="1:8" x14ac:dyDescent="0.2">
      <c r="A793" s="153" t="s">
        <v>1084</v>
      </c>
      <c r="B793" s="107" t="s">
        <v>1054</v>
      </c>
      <c r="C793" s="108"/>
      <c r="D793" s="88">
        <v>81502</v>
      </c>
      <c r="E793" s="90"/>
      <c r="F793" s="90"/>
      <c r="G793" s="151"/>
      <c r="H793" s="152"/>
    </row>
    <row r="794" spans="1:8" x14ac:dyDescent="0.2">
      <c r="A794" s="153" t="s">
        <v>1085</v>
      </c>
      <c r="B794" s="107" t="s">
        <v>1057</v>
      </c>
      <c r="C794" s="108"/>
      <c r="D794" s="88">
        <v>81503</v>
      </c>
      <c r="E794" s="88">
        <v>51</v>
      </c>
      <c r="F794" s="88">
        <v>46.4</v>
      </c>
      <c r="G794" s="151"/>
      <c r="H794" s="152"/>
    </row>
    <row r="795" spans="1:8" x14ac:dyDescent="0.2">
      <c r="A795" s="153" t="s">
        <v>1085</v>
      </c>
      <c r="B795" s="107" t="s">
        <v>1060</v>
      </c>
      <c r="C795" s="108"/>
      <c r="D795" s="88">
        <v>81504</v>
      </c>
      <c r="E795" s="90"/>
      <c r="F795" s="90"/>
      <c r="G795" s="151"/>
      <c r="H795" s="152"/>
    </row>
    <row r="796" spans="1:8" x14ac:dyDescent="0.2">
      <c r="A796" s="154" t="s">
        <v>1086</v>
      </c>
      <c r="B796" s="155" t="s">
        <v>1064</v>
      </c>
      <c r="C796" s="156"/>
      <c r="D796" s="96">
        <v>81505</v>
      </c>
      <c r="E796" s="96">
        <v>537.20000000000005</v>
      </c>
      <c r="F796" s="96">
        <v>631.79999999999995</v>
      </c>
      <c r="G796" s="151"/>
      <c r="H796" s="152"/>
    </row>
    <row r="797" spans="1:8" x14ac:dyDescent="0.2">
      <c r="A797" s="153" t="s">
        <v>1085</v>
      </c>
      <c r="B797" s="107" t="s">
        <v>1067</v>
      </c>
      <c r="C797" s="108"/>
      <c r="D797" s="88">
        <v>81506</v>
      </c>
      <c r="E797" s="88">
        <v>105</v>
      </c>
      <c r="F797" s="88">
        <v>102.9</v>
      </c>
      <c r="G797" s="151"/>
      <c r="H797" s="152"/>
    </row>
    <row r="798" spans="1:8" x14ac:dyDescent="0.2">
      <c r="A798" s="153" t="s">
        <v>1085</v>
      </c>
      <c r="B798" s="107" t="s">
        <v>1070</v>
      </c>
      <c r="C798" s="108"/>
      <c r="D798" s="88">
        <v>81507</v>
      </c>
      <c r="E798" s="90"/>
      <c r="F798" s="90"/>
      <c r="G798" s="151"/>
      <c r="H798" s="152"/>
    </row>
    <row r="799" spans="1:8" x14ac:dyDescent="0.2">
      <c r="A799" s="154" t="s">
        <v>1086</v>
      </c>
      <c r="B799" s="155" t="s">
        <v>1073</v>
      </c>
      <c r="C799" s="156"/>
      <c r="D799" s="96">
        <v>81508</v>
      </c>
      <c r="E799" s="96">
        <v>432.2</v>
      </c>
      <c r="F799" s="96">
        <v>528.9</v>
      </c>
      <c r="G799" s="151"/>
      <c r="H799" s="152"/>
    </row>
    <row r="800" spans="1:8" x14ac:dyDescent="0.2">
      <c r="A800" s="150"/>
      <c r="B800" s="103" t="s">
        <v>1076</v>
      </c>
      <c r="C800" s="105"/>
      <c r="D800" s="100">
        <v>81510</v>
      </c>
      <c r="E800" s="100">
        <v>19.600000000000001</v>
      </c>
      <c r="F800" s="100">
        <v>16.3</v>
      </c>
      <c r="G800" s="151"/>
      <c r="H800" s="152"/>
    </row>
    <row r="801" spans="1:8" x14ac:dyDescent="0.2">
      <c r="A801" s="150"/>
      <c r="B801" s="107" t="s">
        <v>1080</v>
      </c>
      <c r="C801" s="108"/>
      <c r="D801" s="88">
        <v>81551</v>
      </c>
      <c r="E801" s="90"/>
      <c r="F801" s="90"/>
      <c r="G801" s="151"/>
      <c r="H801" s="152"/>
    </row>
    <row r="802" spans="1:8" ht="16" x14ac:dyDescent="0.2">
      <c r="A802" s="57"/>
    </row>
    <row r="803" spans="1:8" ht="16" x14ac:dyDescent="0.2">
      <c r="A803" s="57"/>
    </row>
    <row r="804" spans="1:8" ht="16" x14ac:dyDescent="0.2">
      <c r="A804" s="57" t="s">
        <v>1087</v>
      </c>
    </row>
    <row r="805" spans="1:8" x14ac:dyDescent="0.2">
      <c r="A805" s="112"/>
    </row>
    <row r="806" spans="1:8" ht="16" x14ac:dyDescent="0.2">
      <c r="A806" s="57"/>
    </row>
    <row r="807" spans="1:8" ht="16" x14ac:dyDescent="0.2">
      <c r="A807" s="57"/>
    </row>
    <row r="808" spans="1:8" ht="16" x14ac:dyDescent="0.2">
      <c r="A808" s="57" t="s">
        <v>1088</v>
      </c>
    </row>
    <row r="809" spans="1:8" ht="16" x14ac:dyDescent="0.2">
      <c r="A809" s="57" t="s">
        <v>1089</v>
      </c>
    </row>
    <row r="810" spans="1:8" x14ac:dyDescent="0.2">
      <c r="A810" s="103" t="s">
        <v>1090</v>
      </c>
      <c r="B810" s="104"/>
      <c r="C810" s="105"/>
      <c r="D810" s="106">
        <v>2023</v>
      </c>
      <c r="E810" s="106">
        <v>2024</v>
      </c>
      <c r="F810" s="106" t="s">
        <v>1091</v>
      </c>
    </row>
    <row r="811" spans="1:8" x14ac:dyDescent="0.2">
      <c r="A811" s="157"/>
      <c r="B811" s="158"/>
      <c r="C811" s="159"/>
      <c r="D811" s="106" t="s">
        <v>294</v>
      </c>
      <c r="E811" s="106" t="s">
        <v>294</v>
      </c>
      <c r="F811" s="106" t="s">
        <v>294</v>
      </c>
    </row>
    <row r="812" spans="1:8" x14ac:dyDescent="0.2">
      <c r="A812" s="160"/>
      <c r="B812" s="107" t="s">
        <v>468</v>
      </c>
      <c r="C812" s="108"/>
      <c r="D812" s="90"/>
      <c r="E812" s="89">
        <v>4301.3</v>
      </c>
      <c r="F812" s="89">
        <v>4301.3</v>
      </c>
    </row>
    <row r="813" spans="1:8" x14ac:dyDescent="0.2">
      <c r="A813" s="160"/>
      <c r="B813" s="107" t="s">
        <v>1092</v>
      </c>
      <c r="C813" s="108"/>
      <c r="D813" s="90"/>
      <c r="E813" s="90"/>
      <c r="F813" s="90"/>
    </row>
    <row r="814" spans="1:8" x14ac:dyDescent="0.2">
      <c r="A814" s="160"/>
      <c r="B814" s="107" t="s">
        <v>1093</v>
      </c>
      <c r="C814" s="108"/>
      <c r="D814" s="90"/>
      <c r="E814" s="90"/>
      <c r="F814" s="90"/>
    </row>
    <row r="815" spans="1:8" x14ac:dyDescent="0.2">
      <c r="A815" s="160"/>
      <c r="B815" s="107" t="s">
        <v>1094</v>
      </c>
      <c r="C815" s="108"/>
      <c r="D815" s="90"/>
      <c r="E815" s="88">
        <v>287.3</v>
      </c>
      <c r="F815" s="88">
        <v>287.3</v>
      </c>
    </row>
    <row r="816" spans="1:8" x14ac:dyDescent="0.2">
      <c r="A816" s="160"/>
      <c r="B816" s="107" t="s">
        <v>1095</v>
      </c>
      <c r="C816" s="108"/>
      <c r="D816" s="90"/>
      <c r="E816" s="90"/>
      <c r="F816" s="90"/>
    </row>
    <row r="817" spans="1:6" x14ac:dyDescent="0.2">
      <c r="A817" s="160"/>
      <c r="B817" s="107" t="s">
        <v>1096</v>
      </c>
      <c r="C817" s="108"/>
      <c r="D817" s="90"/>
      <c r="E817" s="90"/>
      <c r="F817" s="90"/>
    </row>
    <row r="818" spans="1:6" x14ac:dyDescent="0.2">
      <c r="A818" s="160"/>
      <c r="B818" s="107" t="s">
        <v>1097</v>
      </c>
      <c r="C818" s="108"/>
      <c r="D818" s="90"/>
      <c r="E818" s="88" t="s">
        <v>1098</v>
      </c>
      <c r="F818" s="88">
        <v>-9.3000000000000007</v>
      </c>
    </row>
    <row r="819" spans="1:6" x14ac:dyDescent="0.2">
      <c r="A819" s="154" t="s">
        <v>1084</v>
      </c>
      <c r="B819" s="155" t="s">
        <v>1099</v>
      </c>
      <c r="C819" s="156"/>
      <c r="D819" s="97"/>
      <c r="E819" s="98">
        <v>4579.3</v>
      </c>
      <c r="F819" s="98">
        <v>4579.3</v>
      </c>
    </row>
    <row r="820" spans="1:6" x14ac:dyDescent="0.2">
      <c r="A820" s="160"/>
      <c r="B820" s="107" t="s">
        <v>8</v>
      </c>
      <c r="C820" s="108"/>
      <c r="D820" s="90"/>
      <c r="E820" s="89">
        <v>1062.9000000000001</v>
      </c>
      <c r="F820" s="89">
        <v>1062.9000000000001</v>
      </c>
    </row>
    <row r="821" spans="1:6" x14ac:dyDescent="0.2">
      <c r="A821" s="160"/>
      <c r="B821" s="107" t="s">
        <v>1100</v>
      </c>
      <c r="C821" s="108"/>
      <c r="D821" s="90"/>
      <c r="E821" s="88">
        <v>-129.6</v>
      </c>
      <c r="F821" s="88">
        <v>-129.6</v>
      </c>
    </row>
    <row r="822" spans="1:6" x14ac:dyDescent="0.2">
      <c r="A822" s="160"/>
      <c r="B822" s="107" t="s">
        <v>1101</v>
      </c>
      <c r="C822" s="108"/>
      <c r="D822" s="90"/>
      <c r="E822" s="88">
        <v>64.7</v>
      </c>
      <c r="F822" s="88">
        <v>64.7</v>
      </c>
    </row>
    <row r="823" spans="1:6" x14ac:dyDescent="0.2">
      <c r="A823" s="160"/>
      <c r="B823" s="107" t="s">
        <v>1102</v>
      </c>
      <c r="C823" s="108"/>
      <c r="D823" s="90"/>
      <c r="E823" s="90"/>
      <c r="F823" s="90"/>
    </row>
    <row r="824" spans="1:6" x14ac:dyDescent="0.2">
      <c r="A824" s="160"/>
      <c r="B824" s="107" t="s">
        <v>1103</v>
      </c>
      <c r="C824" s="108"/>
      <c r="D824" s="90"/>
      <c r="E824" s="90"/>
      <c r="F824" s="90"/>
    </row>
    <row r="825" spans="1:6" x14ac:dyDescent="0.2">
      <c r="A825" s="160"/>
      <c r="B825" s="107" t="s">
        <v>1104</v>
      </c>
      <c r="C825" s="108"/>
      <c r="D825" s="90"/>
      <c r="E825" s="88" t="s">
        <v>1105</v>
      </c>
      <c r="F825" s="88">
        <v>73.2</v>
      </c>
    </row>
    <row r="826" spans="1:6" x14ac:dyDescent="0.2">
      <c r="A826" s="160"/>
      <c r="B826" s="107" t="s">
        <v>1106</v>
      </c>
      <c r="C826" s="108"/>
      <c r="D826" s="90"/>
      <c r="E826" s="90"/>
      <c r="F826" s="90"/>
    </row>
    <row r="827" spans="1:6" x14ac:dyDescent="0.2">
      <c r="A827" s="154" t="s">
        <v>1085</v>
      </c>
      <c r="B827" s="155" t="s">
        <v>1107</v>
      </c>
      <c r="C827" s="156"/>
      <c r="D827" s="97"/>
      <c r="E827" s="98">
        <v>1330.4</v>
      </c>
      <c r="F827" s="98">
        <v>1330.4</v>
      </c>
    </row>
    <row r="828" spans="1:6" x14ac:dyDescent="0.2">
      <c r="A828" s="154" t="s">
        <v>1084</v>
      </c>
      <c r="B828" s="155" t="s">
        <v>1108</v>
      </c>
      <c r="C828" s="156"/>
      <c r="D828" s="97"/>
      <c r="E828" s="97"/>
      <c r="F828" s="97"/>
    </row>
    <row r="829" spans="1:6" x14ac:dyDescent="0.2">
      <c r="A829" s="160"/>
      <c r="B829" s="107" t="s">
        <v>11</v>
      </c>
      <c r="C829" s="108"/>
      <c r="D829" s="90"/>
      <c r="E829" s="89">
        <v>1422.2</v>
      </c>
      <c r="F829" s="89">
        <v>1422.2</v>
      </c>
    </row>
    <row r="830" spans="1:6" x14ac:dyDescent="0.2">
      <c r="A830" s="160"/>
      <c r="B830" s="107" t="s">
        <v>1109</v>
      </c>
      <c r="C830" s="108"/>
      <c r="D830" s="90"/>
      <c r="E830" s="90"/>
      <c r="F830" s="90"/>
    </row>
    <row r="831" spans="1:6" x14ac:dyDescent="0.2">
      <c r="A831" s="154" t="s">
        <v>1085</v>
      </c>
      <c r="B831" s="155" t="s">
        <v>1110</v>
      </c>
      <c r="C831" s="156"/>
      <c r="D831" s="97"/>
      <c r="E831" s="98">
        <v>1422.2</v>
      </c>
      <c r="F831" s="98">
        <v>1422.2</v>
      </c>
    </row>
    <row r="832" spans="1:6" x14ac:dyDescent="0.2">
      <c r="A832" s="160"/>
      <c r="B832" s="107" t="s">
        <v>505</v>
      </c>
      <c r="C832" s="108"/>
      <c r="D832" s="90"/>
      <c r="E832" s="89">
        <v>1043.9000000000001</v>
      </c>
      <c r="F832" s="89">
        <v>1043.9000000000001</v>
      </c>
    </row>
    <row r="833" spans="1:6" x14ac:dyDescent="0.2">
      <c r="A833" s="160"/>
      <c r="B833" s="107" t="s">
        <v>1111</v>
      </c>
      <c r="C833" s="108"/>
      <c r="D833" s="90"/>
      <c r="E833" s="90"/>
      <c r="F833" s="90"/>
    </row>
    <row r="834" spans="1:6" x14ac:dyDescent="0.2">
      <c r="A834" s="160"/>
      <c r="B834" s="107" t="s">
        <v>1112</v>
      </c>
      <c r="C834" s="108"/>
      <c r="D834" s="90"/>
      <c r="E834" s="90"/>
      <c r="F834" s="90"/>
    </row>
    <row r="835" spans="1:6" x14ac:dyDescent="0.2">
      <c r="A835" s="160"/>
      <c r="B835" s="107" t="s">
        <v>1113</v>
      </c>
      <c r="C835" s="108"/>
      <c r="D835" s="90"/>
      <c r="E835" s="90"/>
      <c r="F835" s="90"/>
    </row>
    <row r="836" spans="1:6" x14ac:dyDescent="0.2">
      <c r="A836" s="160"/>
      <c r="B836" s="107" t="s">
        <v>1114</v>
      </c>
      <c r="C836" s="108"/>
      <c r="D836" s="90"/>
      <c r="E836" s="90"/>
      <c r="F836" s="90"/>
    </row>
    <row r="837" spans="1:6" x14ac:dyDescent="0.2">
      <c r="A837" s="160"/>
      <c r="B837" s="107" t="s">
        <v>1115</v>
      </c>
      <c r="C837" s="108"/>
      <c r="D837" s="90"/>
      <c r="E837" s="88">
        <v>-28.7</v>
      </c>
      <c r="F837" s="88">
        <v>-28.7</v>
      </c>
    </row>
    <row r="838" spans="1:6" x14ac:dyDescent="0.2">
      <c r="A838" s="154" t="s">
        <v>1085</v>
      </c>
      <c r="B838" s="155" t="s">
        <v>1116</v>
      </c>
      <c r="C838" s="156"/>
      <c r="D838" s="97"/>
      <c r="E838" s="98">
        <v>1015.2</v>
      </c>
      <c r="F838" s="98">
        <v>1015.2</v>
      </c>
    </row>
    <row r="839" spans="1:6" x14ac:dyDescent="0.2">
      <c r="A839" s="154" t="s">
        <v>1086</v>
      </c>
      <c r="B839" s="155" t="s">
        <v>1117</v>
      </c>
      <c r="C839" s="156"/>
      <c r="D839" s="97"/>
      <c r="E839" s="96">
        <v>811.5</v>
      </c>
      <c r="F839" s="96">
        <v>811.5</v>
      </c>
    </row>
    <row r="840" spans="1:6" x14ac:dyDescent="0.2">
      <c r="A840" s="109"/>
      <c r="B840" s="110"/>
      <c r="C840" s="110"/>
      <c r="D840" s="110"/>
      <c r="E840" s="110"/>
      <c r="F840" s="111"/>
    </row>
    <row r="841" spans="1:6" x14ac:dyDescent="0.2">
      <c r="A841" s="103" t="s">
        <v>1118</v>
      </c>
      <c r="B841" s="104"/>
      <c r="C841" s="105"/>
      <c r="D841" s="106">
        <v>2023</v>
      </c>
      <c r="E841" s="106">
        <v>2024</v>
      </c>
      <c r="F841" s="106" t="s">
        <v>1091</v>
      </c>
    </row>
    <row r="842" spans="1:6" x14ac:dyDescent="0.2">
      <c r="A842" s="157"/>
      <c r="B842" s="158"/>
      <c r="C842" s="159"/>
      <c r="D842" s="106" t="s">
        <v>294</v>
      </c>
      <c r="E842" s="106" t="s">
        <v>294</v>
      </c>
      <c r="F842" s="106" t="s">
        <v>294</v>
      </c>
    </row>
    <row r="843" spans="1:6" x14ac:dyDescent="0.2">
      <c r="A843" s="160"/>
      <c r="B843" s="107" t="s">
        <v>511</v>
      </c>
      <c r="C843" s="108"/>
      <c r="D843" s="90"/>
      <c r="E843" s="88">
        <v>-102.9</v>
      </c>
      <c r="F843" s="88">
        <v>-102.9</v>
      </c>
    </row>
    <row r="844" spans="1:6" x14ac:dyDescent="0.2">
      <c r="A844" s="160"/>
      <c r="B844" s="107" t="s">
        <v>1119</v>
      </c>
      <c r="C844" s="108"/>
      <c r="D844" s="90"/>
      <c r="E844" s="90"/>
      <c r="F844" s="90"/>
    </row>
    <row r="845" spans="1:6" x14ac:dyDescent="0.2">
      <c r="A845" s="154" t="s">
        <v>1084</v>
      </c>
      <c r="B845" s="155" t="s">
        <v>1120</v>
      </c>
      <c r="C845" s="156"/>
      <c r="D845" s="97"/>
      <c r="E845" s="96">
        <v>-102.9</v>
      </c>
      <c r="F845" s="96">
        <v>-102.9</v>
      </c>
    </row>
    <row r="846" spans="1:6" x14ac:dyDescent="0.2">
      <c r="A846" s="154" t="s">
        <v>1086</v>
      </c>
      <c r="B846" s="155" t="s">
        <v>1121</v>
      </c>
      <c r="C846" s="156"/>
      <c r="D846" s="97"/>
      <c r="E846" s="96">
        <v>708.6</v>
      </c>
      <c r="F846" s="96">
        <v>708.6</v>
      </c>
    </row>
    <row r="847" spans="1:6" x14ac:dyDescent="0.2">
      <c r="A847" s="160"/>
      <c r="B847" s="107" t="s">
        <v>551</v>
      </c>
      <c r="C847" s="108"/>
      <c r="D847" s="90"/>
      <c r="E847" s="88">
        <v>-51.8</v>
      </c>
      <c r="F847" s="88">
        <v>-51.8</v>
      </c>
    </row>
    <row r="848" spans="1:6" x14ac:dyDescent="0.2">
      <c r="A848" s="160"/>
      <c r="B848" s="107" t="s">
        <v>1111</v>
      </c>
      <c r="C848" s="108"/>
      <c r="D848" s="90"/>
      <c r="E848" s="90"/>
      <c r="F848" s="90"/>
    </row>
    <row r="849" spans="1:6" x14ac:dyDescent="0.2">
      <c r="A849" s="160"/>
      <c r="B849" s="107" t="s">
        <v>1122</v>
      </c>
      <c r="C849" s="108"/>
      <c r="D849" s="90"/>
      <c r="E849" s="90"/>
      <c r="F849" s="90"/>
    </row>
    <row r="850" spans="1:6" x14ac:dyDescent="0.2">
      <c r="A850" s="160"/>
      <c r="B850" s="107" t="s">
        <v>1112</v>
      </c>
      <c r="C850" s="108"/>
      <c r="D850" s="90"/>
      <c r="E850" s="90"/>
      <c r="F850" s="90"/>
    </row>
    <row r="851" spans="1:6" x14ac:dyDescent="0.2">
      <c r="A851" s="160"/>
      <c r="B851" s="107" t="s">
        <v>1123</v>
      </c>
      <c r="C851" s="108"/>
      <c r="D851" s="90"/>
      <c r="E851" s="90"/>
      <c r="F851" s="90"/>
    </row>
    <row r="852" spans="1:6" x14ac:dyDescent="0.2">
      <c r="A852" s="160"/>
      <c r="B852" s="107" t="s">
        <v>1124</v>
      </c>
      <c r="C852" s="108"/>
      <c r="D852" s="90"/>
      <c r="E852" s="90"/>
      <c r="F852" s="90"/>
    </row>
    <row r="853" spans="1:6" x14ac:dyDescent="0.2">
      <c r="A853" s="160"/>
      <c r="B853" s="107" t="s">
        <v>1125</v>
      </c>
      <c r="C853" s="108"/>
      <c r="D853" s="90"/>
      <c r="E853" s="90"/>
      <c r="F853" s="90"/>
    </row>
    <row r="854" spans="1:6" x14ac:dyDescent="0.2">
      <c r="A854" s="160"/>
      <c r="B854" s="107" t="s">
        <v>1126</v>
      </c>
      <c r="C854" s="108"/>
      <c r="D854" s="90"/>
      <c r="E854" s="90"/>
      <c r="F854" s="90"/>
    </row>
    <row r="855" spans="1:6" x14ac:dyDescent="0.2">
      <c r="A855" s="154" t="s">
        <v>1084</v>
      </c>
      <c r="B855" s="155" t="s">
        <v>1127</v>
      </c>
      <c r="C855" s="156"/>
      <c r="D855" s="97"/>
      <c r="E855" s="96">
        <v>-51.8</v>
      </c>
      <c r="F855" s="96">
        <v>-51.8</v>
      </c>
    </row>
    <row r="856" spans="1:6" x14ac:dyDescent="0.2">
      <c r="A856" s="154" t="s">
        <v>1086</v>
      </c>
      <c r="B856" s="155" t="s">
        <v>1128</v>
      </c>
      <c r="C856" s="156"/>
      <c r="D856" s="97"/>
      <c r="E856" s="96">
        <v>656.8</v>
      </c>
      <c r="F856" s="96">
        <v>656.8</v>
      </c>
    </row>
    <row r="857" spans="1:6" x14ac:dyDescent="0.2">
      <c r="A857" s="109"/>
      <c r="B857" s="110"/>
      <c r="C857" s="110"/>
      <c r="D857" s="110"/>
      <c r="E857" s="110"/>
      <c r="F857" s="111"/>
    </row>
    <row r="858" spans="1:6" x14ac:dyDescent="0.2">
      <c r="A858" s="103" t="s">
        <v>1129</v>
      </c>
      <c r="B858" s="104"/>
      <c r="C858" s="105"/>
      <c r="D858" s="106">
        <v>2023</v>
      </c>
      <c r="E858" s="106">
        <v>2024</v>
      </c>
      <c r="F858" s="106" t="s">
        <v>1091</v>
      </c>
    </row>
    <row r="859" spans="1:6" x14ac:dyDescent="0.2">
      <c r="A859" s="157"/>
      <c r="B859" s="158"/>
      <c r="C859" s="159"/>
      <c r="D859" s="106" t="s">
        <v>294</v>
      </c>
      <c r="E859" s="106" t="s">
        <v>294</v>
      </c>
      <c r="F859" s="106" t="s">
        <v>294</v>
      </c>
    </row>
    <row r="860" spans="1:6" x14ac:dyDescent="0.2">
      <c r="A860" s="160"/>
      <c r="B860" s="107" t="s">
        <v>553</v>
      </c>
      <c r="C860" s="108"/>
      <c r="D860" s="90"/>
      <c r="E860" s="88">
        <v>7.7</v>
      </c>
      <c r="F860" s="88">
        <v>7.7</v>
      </c>
    </row>
    <row r="861" spans="1:6" x14ac:dyDescent="0.2">
      <c r="A861" s="160"/>
      <c r="B861" s="107" t="s">
        <v>1130</v>
      </c>
      <c r="C861" s="108"/>
      <c r="D861" s="90"/>
      <c r="E861" s="88">
        <v>33.9</v>
      </c>
      <c r="F861" s="88">
        <v>33.9</v>
      </c>
    </row>
    <row r="862" spans="1:6" x14ac:dyDescent="0.2">
      <c r="A862" s="160"/>
      <c r="B862" s="107" t="s">
        <v>1131</v>
      </c>
      <c r="C862" s="108"/>
      <c r="D862" s="90"/>
      <c r="E862" s="90"/>
      <c r="F862" s="90"/>
    </row>
    <row r="863" spans="1:6" x14ac:dyDescent="0.2">
      <c r="A863" s="160"/>
      <c r="B863" s="107" t="s">
        <v>1132</v>
      </c>
      <c r="C863" s="108"/>
      <c r="D863" s="90"/>
      <c r="E863" s="90"/>
      <c r="F863" s="90"/>
    </row>
    <row r="864" spans="1:6" x14ac:dyDescent="0.2">
      <c r="A864" s="160"/>
      <c r="B864" s="107" t="s">
        <v>1133</v>
      </c>
      <c r="C864" s="108"/>
      <c r="D864" s="90"/>
      <c r="E864" s="88">
        <v>87.3</v>
      </c>
      <c r="F864" s="88">
        <v>87.3</v>
      </c>
    </row>
    <row r="865" spans="1:6" x14ac:dyDescent="0.2">
      <c r="A865" s="154" t="s">
        <v>1085</v>
      </c>
      <c r="B865" s="155" t="s">
        <v>1134</v>
      </c>
      <c r="C865" s="156"/>
      <c r="D865" s="97"/>
      <c r="E865" s="96">
        <v>128.9</v>
      </c>
      <c r="F865" s="96">
        <v>128.9</v>
      </c>
    </row>
    <row r="866" spans="1:6" x14ac:dyDescent="0.2">
      <c r="A866" s="160"/>
      <c r="B866" s="107" t="s">
        <v>1135</v>
      </c>
      <c r="C866" s="108"/>
      <c r="D866" s="90"/>
      <c r="E866" s="88">
        <v>1.4</v>
      </c>
      <c r="F866" s="88">
        <v>1.4</v>
      </c>
    </row>
    <row r="867" spans="1:6" x14ac:dyDescent="0.2">
      <c r="A867" s="160"/>
      <c r="B867" s="107" t="s">
        <v>1136</v>
      </c>
      <c r="C867" s="108"/>
      <c r="D867" s="90"/>
      <c r="E867" s="88">
        <v>250.9</v>
      </c>
      <c r="F867" s="88">
        <v>250.9</v>
      </c>
    </row>
    <row r="868" spans="1:6" ht="18" customHeight="1" x14ac:dyDescent="0.2">
      <c r="A868" s="160"/>
      <c r="B868" s="107" t="s">
        <v>1137</v>
      </c>
      <c r="C868" s="108"/>
      <c r="D868" s="90"/>
      <c r="E868" s="88">
        <v>431.7</v>
      </c>
      <c r="F868" s="88">
        <v>431.7</v>
      </c>
    </row>
    <row r="869" spans="1:6" x14ac:dyDescent="0.2">
      <c r="A869" s="160"/>
      <c r="B869" s="107" t="s">
        <v>1138</v>
      </c>
      <c r="C869" s="108"/>
      <c r="D869" s="90"/>
      <c r="E869" s="90"/>
      <c r="F869" s="90"/>
    </row>
    <row r="870" spans="1:6" x14ac:dyDescent="0.2">
      <c r="A870" s="160"/>
      <c r="B870" s="107" t="s">
        <v>1139</v>
      </c>
      <c r="C870" s="108"/>
      <c r="D870" s="90"/>
      <c r="E870" s="90"/>
      <c r="F870" s="90"/>
    </row>
    <row r="871" spans="1:6" x14ac:dyDescent="0.2">
      <c r="A871" s="160"/>
      <c r="B871" s="107" t="s">
        <v>1140</v>
      </c>
      <c r="C871" s="108"/>
      <c r="D871" s="90"/>
      <c r="E871" s="90"/>
      <c r="F871" s="90"/>
    </row>
    <row r="872" spans="1:6" x14ac:dyDescent="0.2">
      <c r="A872" s="160"/>
      <c r="B872" s="107" t="s">
        <v>1141</v>
      </c>
      <c r="C872" s="108"/>
      <c r="D872" s="90"/>
      <c r="E872" s="88">
        <v>43.2</v>
      </c>
      <c r="F872" s="88">
        <v>43.2</v>
      </c>
    </row>
    <row r="873" spans="1:6" x14ac:dyDescent="0.2">
      <c r="A873" s="154" t="s">
        <v>1085</v>
      </c>
      <c r="B873" s="155" t="s">
        <v>1142</v>
      </c>
      <c r="C873" s="156"/>
      <c r="D873" s="97"/>
      <c r="E873" s="96">
        <v>640.79999999999995</v>
      </c>
      <c r="F873" s="96">
        <v>640.79999999999995</v>
      </c>
    </row>
    <row r="874" spans="1:6" x14ac:dyDescent="0.2">
      <c r="A874" s="154" t="s">
        <v>1143</v>
      </c>
      <c r="B874" s="155" t="s">
        <v>1144</v>
      </c>
      <c r="C874" s="156"/>
      <c r="D874" s="97"/>
      <c r="E874" s="96">
        <v>-112.9</v>
      </c>
      <c r="F874" s="96">
        <v>-112.9</v>
      </c>
    </row>
    <row r="875" spans="1:6" x14ac:dyDescent="0.2">
      <c r="A875" s="109"/>
      <c r="B875" s="110"/>
      <c r="C875" s="110"/>
      <c r="D875" s="110"/>
      <c r="E875" s="110"/>
      <c r="F875" s="111"/>
    </row>
    <row r="876" spans="1:6" x14ac:dyDescent="0.2">
      <c r="A876" s="103" t="s">
        <v>1145</v>
      </c>
      <c r="B876" s="104"/>
      <c r="C876" s="105"/>
      <c r="D876" s="106">
        <v>2023</v>
      </c>
      <c r="E876" s="106">
        <v>2024</v>
      </c>
      <c r="F876" s="106" t="s">
        <v>1091</v>
      </c>
    </row>
    <row r="877" spans="1:6" x14ac:dyDescent="0.2">
      <c r="A877" s="157"/>
      <c r="B877" s="158"/>
      <c r="C877" s="159"/>
      <c r="D877" s="106" t="s">
        <v>294</v>
      </c>
      <c r="E877" s="106" t="s">
        <v>294</v>
      </c>
      <c r="F877" s="106" t="s">
        <v>294</v>
      </c>
    </row>
    <row r="878" spans="1:6" x14ac:dyDescent="0.2">
      <c r="A878" s="160"/>
      <c r="B878" s="107" t="s">
        <v>544</v>
      </c>
      <c r="C878" s="108"/>
      <c r="D878" s="90"/>
      <c r="E878" s="90"/>
      <c r="F878" s="90"/>
    </row>
    <row r="879" spans="1:6" x14ac:dyDescent="0.2">
      <c r="A879" s="160"/>
      <c r="B879" s="107" t="s">
        <v>1146</v>
      </c>
      <c r="C879" s="108"/>
      <c r="D879" s="90"/>
      <c r="E879" s="90"/>
      <c r="F879" s="90"/>
    </row>
    <row r="880" spans="1:6" x14ac:dyDescent="0.2">
      <c r="A880" s="160"/>
      <c r="B880" s="107" t="s">
        <v>1147</v>
      </c>
      <c r="C880" s="108"/>
      <c r="D880" s="90"/>
      <c r="E880" s="90"/>
      <c r="F880" s="90"/>
    </row>
    <row r="881" spans="1:6" x14ac:dyDescent="0.2">
      <c r="A881" s="160"/>
      <c r="B881" s="107" t="s">
        <v>1148</v>
      </c>
      <c r="C881" s="108"/>
      <c r="D881" s="90"/>
      <c r="E881" s="90"/>
      <c r="F881" s="90"/>
    </row>
    <row r="882" spans="1:6" x14ac:dyDescent="0.2">
      <c r="A882" s="160"/>
      <c r="B882" s="107" t="s">
        <v>1149</v>
      </c>
      <c r="C882" s="108"/>
      <c r="D882" s="90"/>
      <c r="E882" s="90"/>
      <c r="F882" s="90"/>
    </row>
    <row r="883" spans="1:6" x14ac:dyDescent="0.2">
      <c r="A883" s="160"/>
      <c r="B883" s="107" t="s">
        <v>1150</v>
      </c>
      <c r="C883" s="108"/>
      <c r="D883" s="90"/>
      <c r="E883" s="90"/>
      <c r="F883" s="90"/>
    </row>
    <row r="884" spans="1:6" x14ac:dyDescent="0.2">
      <c r="A884" s="160"/>
      <c r="B884" s="107" t="s">
        <v>1151</v>
      </c>
      <c r="C884" s="108"/>
      <c r="D884" s="90"/>
      <c r="E884" s="90"/>
      <c r="F884" s="90"/>
    </row>
    <row r="885" spans="1:6" x14ac:dyDescent="0.2">
      <c r="A885" s="160"/>
      <c r="B885" s="107" t="s">
        <v>1152</v>
      </c>
      <c r="C885" s="108"/>
      <c r="D885" s="90"/>
      <c r="E885" s="90"/>
      <c r="F885" s="90"/>
    </row>
    <row r="886" spans="1:6" x14ac:dyDescent="0.2">
      <c r="A886" s="160"/>
      <c r="B886" s="107" t="s">
        <v>1153</v>
      </c>
      <c r="C886" s="108"/>
      <c r="D886" s="90"/>
      <c r="E886" s="90"/>
      <c r="F886" s="90"/>
    </row>
    <row r="887" spans="1:6" x14ac:dyDescent="0.2">
      <c r="A887" s="160"/>
      <c r="B887" s="107" t="s">
        <v>1154</v>
      </c>
      <c r="C887" s="108"/>
      <c r="D887" s="90"/>
      <c r="E887" s="90"/>
      <c r="F887" s="90"/>
    </row>
    <row r="888" spans="1:6" x14ac:dyDescent="0.2">
      <c r="A888" s="154" t="s">
        <v>1085</v>
      </c>
      <c r="B888" s="155" t="s">
        <v>1155</v>
      </c>
      <c r="C888" s="156"/>
      <c r="D888" s="97"/>
      <c r="E888" s="97"/>
      <c r="F888" s="97"/>
    </row>
    <row r="889" spans="1:6" x14ac:dyDescent="0.2">
      <c r="A889" s="154" t="s">
        <v>1084</v>
      </c>
      <c r="B889" s="155" t="s">
        <v>1156</v>
      </c>
      <c r="C889" s="156"/>
      <c r="D889" s="97"/>
      <c r="E889" s="96">
        <v>-32</v>
      </c>
      <c r="F889" s="96">
        <v>-32</v>
      </c>
    </row>
    <row r="890" spans="1:6" x14ac:dyDescent="0.2">
      <c r="A890" s="160"/>
      <c r="B890" s="107" t="s">
        <v>1157</v>
      </c>
      <c r="C890" s="108"/>
      <c r="D890" s="90"/>
      <c r="E890" s="90"/>
      <c r="F890" s="90"/>
    </row>
    <row r="891" spans="1:6" x14ac:dyDescent="0.2">
      <c r="A891" s="160"/>
      <c r="B891" s="107" t="s">
        <v>1158</v>
      </c>
      <c r="C891" s="108"/>
      <c r="D891" s="90"/>
      <c r="E891" s="88">
        <v>823.7</v>
      </c>
      <c r="F891" s="88">
        <v>823.7</v>
      </c>
    </row>
    <row r="892" spans="1:6" x14ac:dyDescent="0.2">
      <c r="A892" s="160"/>
      <c r="B892" s="107" t="s">
        <v>1159</v>
      </c>
      <c r="C892" s="108"/>
      <c r="D892" s="90"/>
      <c r="E892" s="90"/>
      <c r="F892" s="90"/>
    </row>
    <row r="893" spans="1:6" x14ac:dyDescent="0.2">
      <c r="A893" s="160"/>
      <c r="B893" s="107" t="s">
        <v>1160</v>
      </c>
      <c r="C893" s="108"/>
      <c r="D893" s="90"/>
      <c r="E893" s="90"/>
      <c r="F893" s="90"/>
    </row>
    <row r="894" spans="1:6" x14ac:dyDescent="0.2">
      <c r="A894" s="160"/>
      <c r="B894" s="107" t="s">
        <v>1161</v>
      </c>
      <c r="C894" s="108"/>
      <c r="D894" s="90"/>
      <c r="E894" s="90"/>
      <c r="F894" s="90"/>
    </row>
    <row r="895" spans="1:6" x14ac:dyDescent="0.2">
      <c r="A895" s="160"/>
      <c r="B895" s="107" t="s">
        <v>1162</v>
      </c>
      <c r="C895" s="108"/>
      <c r="D895" s="90"/>
      <c r="E895" s="88">
        <v>-327.39999999999998</v>
      </c>
      <c r="F895" s="88">
        <v>-327.39999999999998</v>
      </c>
    </row>
    <row r="896" spans="1:6" x14ac:dyDescent="0.2">
      <c r="A896" s="160"/>
      <c r="B896" s="107" t="s">
        <v>1163</v>
      </c>
      <c r="C896" s="108"/>
      <c r="D896" s="90"/>
      <c r="E896" s="90"/>
      <c r="F896" s="90"/>
    </row>
    <row r="897" spans="1:6" x14ac:dyDescent="0.2">
      <c r="A897" s="160"/>
      <c r="B897" s="107" t="s">
        <v>1164</v>
      </c>
      <c r="C897" s="108"/>
      <c r="D897" s="90"/>
      <c r="E897" s="90"/>
      <c r="F897" s="90"/>
    </row>
    <row r="898" spans="1:6" x14ac:dyDescent="0.2">
      <c r="A898" s="154" t="s">
        <v>1084</v>
      </c>
      <c r="B898" s="155" t="s">
        <v>1165</v>
      </c>
      <c r="C898" s="156"/>
      <c r="D898" s="97"/>
      <c r="E898" s="96">
        <v>496.3</v>
      </c>
      <c r="F898" s="96">
        <v>496.3</v>
      </c>
    </row>
    <row r="899" spans="1:6" x14ac:dyDescent="0.2">
      <c r="A899" s="160"/>
      <c r="B899" s="107" t="s">
        <v>1166</v>
      </c>
      <c r="C899" s="108"/>
      <c r="D899" s="90"/>
      <c r="E899" s="88">
        <v>-91.8</v>
      </c>
      <c r="F899" s="88">
        <v>-91.8</v>
      </c>
    </row>
    <row r="900" spans="1:6" x14ac:dyDescent="0.2">
      <c r="A900" s="160"/>
      <c r="B900" s="107" t="s">
        <v>1167</v>
      </c>
      <c r="C900" s="108"/>
      <c r="D900" s="90"/>
      <c r="E900" s="88">
        <v>4.0999999999999996</v>
      </c>
      <c r="F900" s="88">
        <v>4.0999999999999996</v>
      </c>
    </row>
    <row r="901" spans="1:6" x14ac:dyDescent="0.2">
      <c r="A901" s="160"/>
      <c r="B901" s="107" t="s">
        <v>1168</v>
      </c>
      <c r="C901" s="108"/>
      <c r="D901" s="90"/>
      <c r="E901" s="90"/>
      <c r="F901" s="90"/>
    </row>
    <row r="902" spans="1:6" x14ac:dyDescent="0.2">
      <c r="A902" s="160"/>
      <c r="B902" s="107" t="s">
        <v>1169</v>
      </c>
      <c r="C902" s="108"/>
      <c r="D902" s="90"/>
      <c r="E902" s="90"/>
      <c r="F902" s="90"/>
    </row>
    <row r="903" spans="1:6" x14ac:dyDescent="0.2">
      <c r="A903" s="160"/>
      <c r="B903" s="107" t="s">
        <v>1170</v>
      </c>
      <c r="C903" s="108"/>
      <c r="D903" s="90"/>
      <c r="E903" s="90"/>
      <c r="F903" s="90"/>
    </row>
    <row r="904" spans="1:6" x14ac:dyDescent="0.2">
      <c r="A904" s="160"/>
      <c r="B904" s="107" t="s">
        <v>1171</v>
      </c>
      <c r="C904" s="108"/>
      <c r="D904" s="90"/>
      <c r="E904" s="90"/>
      <c r="F904" s="90"/>
    </row>
    <row r="905" spans="1:6" x14ac:dyDescent="0.2">
      <c r="A905" s="154" t="s">
        <v>1084</v>
      </c>
      <c r="B905" s="155" t="s">
        <v>1172</v>
      </c>
      <c r="C905" s="156"/>
      <c r="D905" s="97"/>
      <c r="E905" s="96">
        <v>-87.7</v>
      </c>
      <c r="F905" s="96">
        <v>-87.7</v>
      </c>
    </row>
    <row r="906" spans="1:6" x14ac:dyDescent="0.2">
      <c r="A906" s="154" t="s">
        <v>1173</v>
      </c>
      <c r="B906" s="155" t="s">
        <v>1174</v>
      </c>
      <c r="C906" s="156"/>
      <c r="D906" s="97"/>
      <c r="E906" s="96">
        <v>376.6</v>
      </c>
      <c r="F906" s="96">
        <v>376.6</v>
      </c>
    </row>
    <row r="907" spans="1:6" x14ac:dyDescent="0.2">
      <c r="A907" s="109"/>
      <c r="B907" s="110"/>
      <c r="C907" s="110"/>
      <c r="D907" s="110"/>
      <c r="E907" s="110"/>
      <c r="F907" s="111"/>
    </row>
    <row r="908" spans="1:6" x14ac:dyDescent="0.2">
      <c r="A908" s="103" t="s">
        <v>1175</v>
      </c>
      <c r="B908" s="104"/>
      <c r="C908" s="105"/>
      <c r="D908" s="106">
        <v>2023</v>
      </c>
      <c r="E908" s="106">
        <v>2024</v>
      </c>
      <c r="F908" s="106" t="s">
        <v>1091</v>
      </c>
    </row>
    <row r="909" spans="1:6" x14ac:dyDescent="0.2">
      <c r="A909" s="157"/>
      <c r="B909" s="158"/>
      <c r="C909" s="159"/>
      <c r="D909" s="106" t="s">
        <v>294</v>
      </c>
      <c r="E909" s="106" t="s">
        <v>294</v>
      </c>
      <c r="F909" s="106" t="s">
        <v>294</v>
      </c>
    </row>
    <row r="910" spans="1:6" x14ac:dyDescent="0.2">
      <c r="A910" s="160"/>
      <c r="B910" s="107" t="s">
        <v>1176</v>
      </c>
      <c r="C910" s="108"/>
      <c r="D910" s="90"/>
      <c r="E910" s="90"/>
      <c r="F910" s="90"/>
    </row>
    <row r="911" spans="1:6" x14ac:dyDescent="0.2">
      <c r="A911" s="160"/>
      <c r="B911" s="107" t="s">
        <v>1177</v>
      </c>
      <c r="C911" s="108"/>
      <c r="D911" s="90"/>
      <c r="E911" s="90"/>
      <c r="F911" s="90"/>
    </row>
    <row r="912" spans="1:6" x14ac:dyDescent="0.2">
      <c r="A912" s="160"/>
      <c r="B912" s="107" t="s">
        <v>1178</v>
      </c>
      <c r="C912" s="108"/>
      <c r="D912" s="90"/>
      <c r="E912" s="90"/>
      <c r="F912" s="90"/>
    </row>
    <row r="913" spans="1:6" x14ac:dyDescent="0.2">
      <c r="A913" s="154" t="s">
        <v>1085</v>
      </c>
      <c r="B913" s="155" t="s">
        <v>1179</v>
      </c>
      <c r="C913" s="156"/>
      <c r="D913" s="97"/>
      <c r="E913" s="97"/>
      <c r="F913" s="97"/>
    </row>
    <row r="914" spans="1:6" x14ac:dyDescent="0.2">
      <c r="A914" s="160"/>
      <c r="B914" s="107" t="s">
        <v>1180</v>
      </c>
      <c r="C914" s="108"/>
      <c r="D914" s="90"/>
      <c r="E914" s="88">
        <v>3</v>
      </c>
      <c r="F914" s="88">
        <v>3</v>
      </c>
    </row>
    <row r="915" spans="1:6" x14ac:dyDescent="0.2">
      <c r="A915" s="160"/>
      <c r="B915" s="107" t="s">
        <v>1181</v>
      </c>
      <c r="C915" s="108"/>
      <c r="D915" s="90"/>
      <c r="E915" s="90"/>
      <c r="F915" s="90"/>
    </row>
    <row r="916" spans="1:6" x14ac:dyDescent="0.2">
      <c r="A916" s="160"/>
      <c r="B916" s="107" t="s">
        <v>1182</v>
      </c>
      <c r="C916" s="108"/>
      <c r="D916" s="90"/>
      <c r="E916" s="90"/>
      <c r="F916" s="90"/>
    </row>
    <row r="917" spans="1:6" x14ac:dyDescent="0.2">
      <c r="A917" s="160"/>
      <c r="B917" s="107" t="s">
        <v>1183</v>
      </c>
      <c r="C917" s="108"/>
      <c r="D917" s="90"/>
      <c r="E917" s="88">
        <v>32.4</v>
      </c>
      <c r="F917" s="88">
        <v>32.4</v>
      </c>
    </row>
    <row r="918" spans="1:6" x14ac:dyDescent="0.2">
      <c r="A918" s="160"/>
      <c r="B918" s="107" t="s">
        <v>1184</v>
      </c>
      <c r="C918" s="108"/>
      <c r="D918" s="90"/>
      <c r="E918" s="90"/>
      <c r="F918" s="90"/>
    </row>
    <row r="919" spans="1:6" x14ac:dyDescent="0.2">
      <c r="A919" s="160"/>
      <c r="B919" s="107" t="s">
        <v>1185</v>
      </c>
      <c r="C919" s="108"/>
      <c r="D919" s="90"/>
      <c r="E919" s="90"/>
      <c r="F919" s="90"/>
    </row>
    <row r="920" spans="1:6" x14ac:dyDescent="0.2">
      <c r="A920" s="154" t="s">
        <v>1085</v>
      </c>
      <c r="B920" s="155" t="s">
        <v>1186</v>
      </c>
      <c r="C920" s="156"/>
      <c r="D920" s="97"/>
      <c r="E920" s="96">
        <v>35.4</v>
      </c>
      <c r="F920" s="96">
        <v>35.4</v>
      </c>
    </row>
    <row r="921" spans="1:6" x14ac:dyDescent="0.2">
      <c r="A921" s="154" t="s">
        <v>1084</v>
      </c>
      <c r="B921" s="155" t="s">
        <v>1187</v>
      </c>
      <c r="C921" s="156"/>
      <c r="D921" s="97"/>
      <c r="E921" s="96">
        <v>-190</v>
      </c>
      <c r="F921" s="96">
        <v>-190</v>
      </c>
    </row>
    <row r="922" spans="1:6" x14ac:dyDescent="0.2">
      <c r="A922" s="160"/>
      <c r="B922" s="107" t="s">
        <v>1188</v>
      </c>
      <c r="C922" s="108"/>
      <c r="D922" s="90"/>
      <c r="E922" s="90"/>
      <c r="F922" s="90"/>
    </row>
    <row r="923" spans="1:6" x14ac:dyDescent="0.2">
      <c r="A923" s="160"/>
      <c r="B923" s="107" t="s">
        <v>1189</v>
      </c>
      <c r="C923" s="108"/>
      <c r="D923" s="90"/>
      <c r="E923" s="90"/>
      <c r="F923" s="90"/>
    </row>
    <row r="924" spans="1:6" x14ac:dyDescent="0.2">
      <c r="A924" s="160"/>
      <c r="B924" s="107" t="s">
        <v>1190</v>
      </c>
      <c r="C924" s="108"/>
      <c r="D924" s="90"/>
      <c r="E924" s="90"/>
      <c r="F924" s="90"/>
    </row>
    <row r="925" spans="1:6" x14ac:dyDescent="0.2">
      <c r="A925" s="160"/>
      <c r="B925" s="107" t="s">
        <v>1191</v>
      </c>
      <c r="C925" s="108"/>
      <c r="D925" s="90"/>
      <c r="E925" s="90"/>
      <c r="F925" s="90"/>
    </row>
    <row r="926" spans="1:6" x14ac:dyDescent="0.2">
      <c r="A926" s="160"/>
      <c r="B926" s="107" t="s">
        <v>1192</v>
      </c>
      <c r="C926" s="108"/>
      <c r="D926" s="90"/>
      <c r="E926" s="90"/>
      <c r="F926" s="90"/>
    </row>
    <row r="927" spans="1:6" x14ac:dyDescent="0.2">
      <c r="A927" s="160"/>
      <c r="B927" s="107" t="s">
        <v>1193</v>
      </c>
      <c r="C927" s="108"/>
      <c r="D927" s="90"/>
      <c r="E927" s="88">
        <v>-27.6</v>
      </c>
      <c r="F927" s="88">
        <v>-27.6</v>
      </c>
    </row>
    <row r="928" spans="1:6" x14ac:dyDescent="0.2">
      <c r="A928" s="160"/>
      <c r="B928" s="107" t="s">
        <v>1194</v>
      </c>
      <c r="C928" s="108"/>
      <c r="D928" s="90"/>
      <c r="E928" s="90"/>
      <c r="F928" s="90"/>
    </row>
    <row r="929" spans="1:6" x14ac:dyDescent="0.2">
      <c r="A929" s="160"/>
      <c r="B929" s="107" t="s">
        <v>1195</v>
      </c>
      <c r="C929" s="108"/>
      <c r="D929" s="90"/>
      <c r="E929" s="90"/>
      <c r="F929" s="90"/>
    </row>
    <row r="930" spans="1:6" x14ac:dyDescent="0.2">
      <c r="A930" s="160"/>
      <c r="B930" s="107" t="s">
        <v>1196</v>
      </c>
      <c r="C930" s="108"/>
      <c r="D930" s="90"/>
      <c r="E930" s="90"/>
      <c r="F930" s="90"/>
    </row>
    <row r="931" spans="1:6" x14ac:dyDescent="0.2">
      <c r="A931" s="160"/>
      <c r="B931" s="107" t="s">
        <v>1197</v>
      </c>
      <c r="C931" s="108"/>
      <c r="D931" s="90"/>
      <c r="E931" s="90"/>
      <c r="F931" s="90"/>
    </row>
    <row r="932" spans="1:6" x14ac:dyDescent="0.2">
      <c r="A932" s="154" t="s">
        <v>1084</v>
      </c>
      <c r="B932" s="155" t="s">
        <v>1198</v>
      </c>
      <c r="C932" s="156"/>
      <c r="D932" s="97"/>
      <c r="E932" s="96">
        <v>-27.6</v>
      </c>
      <c r="F932" s="96">
        <v>-27.6</v>
      </c>
    </row>
    <row r="933" spans="1:6" x14ac:dyDescent="0.2">
      <c r="A933" s="154" t="s">
        <v>1084</v>
      </c>
      <c r="B933" s="155" t="s">
        <v>1199</v>
      </c>
      <c r="C933" s="156"/>
      <c r="D933" s="97"/>
      <c r="E933" s="97"/>
      <c r="F933" s="97"/>
    </row>
    <row r="934" spans="1:6" x14ac:dyDescent="0.2">
      <c r="A934" s="154" t="s">
        <v>1200</v>
      </c>
      <c r="B934" s="155" t="s">
        <v>1201</v>
      </c>
      <c r="C934" s="156"/>
      <c r="D934" s="97"/>
      <c r="E934" s="96">
        <v>-253</v>
      </c>
      <c r="F934" s="96">
        <v>-253</v>
      </c>
    </row>
    <row r="935" spans="1:6" x14ac:dyDescent="0.2">
      <c r="A935" s="109"/>
      <c r="B935" s="110"/>
      <c r="C935" s="110"/>
      <c r="D935" s="110"/>
      <c r="E935" s="110"/>
      <c r="F935" s="111"/>
    </row>
    <row r="936" spans="1:6" x14ac:dyDescent="0.2">
      <c r="A936" s="103" t="s">
        <v>1202</v>
      </c>
      <c r="B936" s="104"/>
      <c r="C936" s="105"/>
      <c r="D936" s="106">
        <v>2023</v>
      </c>
      <c r="E936" s="106">
        <v>2024</v>
      </c>
      <c r="F936" s="106" t="s">
        <v>1091</v>
      </c>
    </row>
    <row r="937" spans="1:6" x14ac:dyDescent="0.2">
      <c r="A937" s="157"/>
      <c r="B937" s="158"/>
      <c r="C937" s="159"/>
      <c r="D937" s="106" t="s">
        <v>294</v>
      </c>
      <c r="E937" s="106" t="s">
        <v>294</v>
      </c>
      <c r="F937" s="106" t="s">
        <v>294</v>
      </c>
    </row>
    <row r="938" spans="1:6" x14ac:dyDescent="0.2">
      <c r="A938" s="160"/>
      <c r="B938" s="107" t="s">
        <v>1148</v>
      </c>
      <c r="C938" s="108"/>
      <c r="D938" s="90"/>
      <c r="E938" s="90"/>
      <c r="F938" s="90"/>
    </row>
    <row r="939" spans="1:6" x14ac:dyDescent="0.2">
      <c r="A939" s="160"/>
      <c r="B939" s="107" t="s">
        <v>1149</v>
      </c>
      <c r="C939" s="108"/>
      <c r="D939" s="90"/>
      <c r="E939" s="90"/>
      <c r="F939" s="90"/>
    </row>
    <row r="940" spans="1:6" x14ac:dyDescent="0.2">
      <c r="A940" s="160"/>
      <c r="B940" s="107" t="s">
        <v>1150</v>
      </c>
      <c r="C940" s="108"/>
      <c r="D940" s="90"/>
      <c r="E940" s="90"/>
      <c r="F940" s="90"/>
    </row>
    <row r="941" spans="1:6" x14ac:dyDescent="0.2">
      <c r="A941" s="160"/>
      <c r="B941" s="107" t="s">
        <v>1151</v>
      </c>
      <c r="C941" s="108"/>
      <c r="D941" s="90"/>
      <c r="E941" s="90"/>
      <c r="F941" s="90"/>
    </row>
    <row r="942" spans="1:6" x14ac:dyDescent="0.2">
      <c r="A942" s="160"/>
      <c r="B942" s="107" t="s">
        <v>1203</v>
      </c>
      <c r="C942" s="108"/>
      <c r="D942" s="90"/>
      <c r="E942" s="90"/>
      <c r="F942" s="90"/>
    </row>
    <row r="943" spans="1:6" x14ac:dyDescent="0.2">
      <c r="A943" s="160"/>
      <c r="B943" s="107" t="s">
        <v>1204</v>
      </c>
      <c r="C943" s="108"/>
      <c r="D943" s="90"/>
      <c r="E943" s="90"/>
      <c r="F943" s="90"/>
    </row>
    <row r="944" spans="1:6" x14ac:dyDescent="0.2">
      <c r="A944" s="160"/>
      <c r="B944" s="107" t="s">
        <v>1205</v>
      </c>
      <c r="C944" s="108"/>
      <c r="D944" s="90"/>
      <c r="E944" s="90"/>
      <c r="F944" s="90"/>
    </row>
    <row r="945" spans="1:6" x14ac:dyDescent="0.2">
      <c r="A945" s="160"/>
      <c r="B945" s="107" t="s">
        <v>1206</v>
      </c>
      <c r="C945" s="108"/>
      <c r="D945" s="90"/>
      <c r="E945" s="90"/>
      <c r="F945" s="90"/>
    </row>
    <row r="946" spans="1:6" x14ac:dyDescent="0.2">
      <c r="A946" s="160"/>
      <c r="B946" s="107" t="s">
        <v>1207</v>
      </c>
      <c r="C946" s="108"/>
      <c r="D946" s="90"/>
      <c r="E946" s="90"/>
      <c r="F946" s="90"/>
    </row>
    <row r="947" spans="1:6" x14ac:dyDescent="0.2">
      <c r="A947" s="160"/>
      <c r="B947" s="107" t="s">
        <v>1208</v>
      </c>
      <c r="C947" s="108"/>
      <c r="D947" s="90"/>
      <c r="E947" s="90"/>
      <c r="F947" s="90"/>
    </row>
    <row r="948" spans="1:6" x14ac:dyDescent="0.2">
      <c r="A948" s="160"/>
      <c r="B948" s="107" t="s">
        <v>1209</v>
      </c>
      <c r="C948" s="108"/>
      <c r="D948" s="90"/>
      <c r="E948" s="90"/>
      <c r="F948" s="90"/>
    </row>
    <row r="949" spans="1:6" x14ac:dyDescent="0.2">
      <c r="A949" s="160"/>
      <c r="B949" s="107" t="s">
        <v>1210</v>
      </c>
      <c r="C949" s="108"/>
      <c r="D949" s="90"/>
      <c r="E949" s="90"/>
      <c r="F949" s="90"/>
    </row>
    <row r="950" spans="1:6" x14ac:dyDescent="0.2">
      <c r="A950" s="160"/>
      <c r="B950" s="107" t="s">
        <v>1211</v>
      </c>
      <c r="C950" s="108"/>
      <c r="D950" s="90"/>
      <c r="E950" s="90"/>
      <c r="F950" s="90"/>
    </row>
    <row r="951" spans="1:6" x14ac:dyDescent="0.2">
      <c r="A951" s="160"/>
      <c r="B951" s="107" t="s">
        <v>1212</v>
      </c>
      <c r="C951" s="108"/>
      <c r="D951" s="90"/>
      <c r="E951" s="88" t="s">
        <v>1213</v>
      </c>
      <c r="F951" s="88">
        <v>-2.6</v>
      </c>
    </row>
    <row r="952" spans="1:6" x14ac:dyDescent="0.2">
      <c r="A952" s="160"/>
      <c r="B952" s="107" t="s">
        <v>1214</v>
      </c>
      <c r="C952" s="108"/>
      <c r="D952" s="90"/>
      <c r="E952" s="90"/>
      <c r="F952" s="90"/>
    </row>
    <row r="953" spans="1:6" x14ac:dyDescent="0.2">
      <c r="A953" s="160"/>
      <c r="B953" s="107" t="s">
        <v>1146</v>
      </c>
      <c r="C953" s="108"/>
      <c r="D953" s="90"/>
      <c r="E953" s="90"/>
      <c r="F953" s="90"/>
    </row>
    <row r="954" spans="1:6" x14ac:dyDescent="0.2">
      <c r="A954" s="154" t="s">
        <v>1215</v>
      </c>
      <c r="B954" s="155" t="s">
        <v>1216</v>
      </c>
      <c r="C954" s="156"/>
      <c r="D954" s="97"/>
      <c r="E954" s="96">
        <v>-2.6</v>
      </c>
      <c r="F954" s="96">
        <v>-2.6</v>
      </c>
    </row>
    <row r="955" spans="1:6" x14ac:dyDescent="0.2">
      <c r="A955" s="161"/>
      <c r="B955" s="162"/>
      <c r="C955" s="162"/>
      <c r="D955" s="162"/>
      <c r="E955" s="162"/>
      <c r="F955" s="163"/>
    </row>
    <row r="956" spans="1:6" x14ac:dyDescent="0.2">
      <c r="A956" s="160"/>
      <c r="B956" s="107" t="s">
        <v>1217</v>
      </c>
      <c r="C956" s="108"/>
      <c r="D956" s="90"/>
      <c r="E956" s="90"/>
      <c r="F956" s="90"/>
    </row>
    <row r="957" spans="1:6" x14ac:dyDescent="0.2">
      <c r="A957" s="160"/>
      <c r="B957" s="107" t="s">
        <v>1218</v>
      </c>
      <c r="C957" s="108"/>
      <c r="D957" s="90"/>
      <c r="E957" s="90"/>
      <c r="F957" s="90"/>
    </row>
    <row r="958" spans="1:6" x14ac:dyDescent="0.2">
      <c r="A958" s="161"/>
      <c r="B958" s="162"/>
      <c r="C958" s="162"/>
      <c r="D958" s="162"/>
      <c r="E958" s="162"/>
      <c r="F958" s="163"/>
    </row>
    <row r="959" spans="1:6" x14ac:dyDescent="0.2">
      <c r="A959" s="154" t="s">
        <v>1219</v>
      </c>
      <c r="B959" s="155" t="s">
        <v>1220</v>
      </c>
      <c r="C959" s="156"/>
      <c r="D959" s="97"/>
      <c r="E959" s="96">
        <v>8.1</v>
      </c>
      <c r="F959" s="96">
        <v>8.1</v>
      </c>
    </row>
    <row r="960" spans="1:6" x14ac:dyDescent="0.2">
      <c r="A960" s="161"/>
      <c r="B960" s="162"/>
      <c r="C960" s="162"/>
      <c r="D960" s="162"/>
      <c r="E960" s="162"/>
      <c r="F960" s="163"/>
    </row>
    <row r="961" spans="1:6" x14ac:dyDescent="0.2">
      <c r="A961" s="103" t="s">
        <v>1221</v>
      </c>
      <c r="B961" s="104"/>
      <c r="C961" s="104"/>
      <c r="D961" s="104"/>
      <c r="E961" s="104"/>
      <c r="F961" s="105"/>
    </row>
    <row r="962" spans="1:6" x14ac:dyDescent="0.2">
      <c r="A962" s="160"/>
      <c r="B962" s="107" t="s">
        <v>1222</v>
      </c>
      <c r="C962" s="108"/>
      <c r="D962" s="90"/>
      <c r="E962" s="88">
        <v>8.1</v>
      </c>
      <c r="F962" s="88">
        <v>8.1</v>
      </c>
    </row>
    <row r="963" spans="1:6" x14ac:dyDescent="0.2">
      <c r="A963" s="107" t="s">
        <v>1223</v>
      </c>
      <c r="B963" s="164"/>
      <c r="C963" s="164"/>
      <c r="D963" s="164"/>
      <c r="E963" s="164"/>
      <c r="F963" s="108"/>
    </row>
    <row r="964" spans="1:6" ht="16" x14ac:dyDescent="0.2">
      <c r="A964" s="57"/>
    </row>
    <row r="965" spans="1:6" ht="16" x14ac:dyDescent="0.2">
      <c r="A965" s="57"/>
    </row>
    <row r="966" spans="1:6" ht="16" x14ac:dyDescent="0.2">
      <c r="A966" s="57" t="s">
        <v>1224</v>
      </c>
    </row>
    <row r="967" spans="1:6" x14ac:dyDescent="0.2">
      <c r="A967" s="103" t="s">
        <v>1225</v>
      </c>
      <c r="B967" s="104"/>
      <c r="C967" s="105"/>
      <c r="D967" s="106">
        <v>2023</v>
      </c>
      <c r="E967" s="106">
        <v>2024</v>
      </c>
      <c r="F967" s="106" t="s">
        <v>1091</v>
      </c>
    </row>
    <row r="968" spans="1:6" x14ac:dyDescent="0.2">
      <c r="A968" s="157"/>
      <c r="B968" s="158"/>
      <c r="C968" s="159"/>
      <c r="D968" s="106" t="s">
        <v>294</v>
      </c>
      <c r="E968" s="106" t="s">
        <v>294</v>
      </c>
      <c r="F968" s="106" t="s">
        <v>294</v>
      </c>
    </row>
    <row r="969" spans="1:6" x14ac:dyDescent="0.2">
      <c r="A969" s="160"/>
      <c r="B969" s="107" t="s">
        <v>522</v>
      </c>
      <c r="C969" s="108"/>
      <c r="D969" s="90"/>
      <c r="E969" s="88">
        <v>151.30000000000001</v>
      </c>
      <c r="F969" s="88">
        <v>151.30000000000001</v>
      </c>
    </row>
    <row r="970" spans="1:6" x14ac:dyDescent="0.2">
      <c r="A970" s="160"/>
      <c r="B970" s="107" t="s">
        <v>1141</v>
      </c>
      <c r="C970" s="108"/>
      <c r="D970" s="90"/>
      <c r="E970" s="88">
        <v>43.2</v>
      </c>
      <c r="F970" s="88">
        <v>43.2</v>
      </c>
    </row>
    <row r="971" spans="1:6" ht="18" customHeight="1" x14ac:dyDescent="0.2">
      <c r="A971" s="160"/>
      <c r="B971" s="107" t="s">
        <v>1137</v>
      </c>
      <c r="C971" s="108"/>
      <c r="D971" s="90"/>
      <c r="E971" s="88">
        <v>431.7</v>
      </c>
      <c r="F971" s="88">
        <v>431.7</v>
      </c>
    </row>
    <row r="972" spans="1:6" x14ac:dyDescent="0.2">
      <c r="A972" s="154" t="s">
        <v>1084</v>
      </c>
      <c r="B972" s="155" t="s">
        <v>1226</v>
      </c>
      <c r="C972" s="156"/>
      <c r="D972" s="97"/>
      <c r="E972" s="96">
        <v>539.79999999999995</v>
      </c>
      <c r="F972" s="96">
        <v>539.79999999999995</v>
      </c>
    </row>
    <row r="973" spans="1:6" x14ac:dyDescent="0.2">
      <c r="A973" s="160"/>
      <c r="B973" s="107" t="s">
        <v>1227</v>
      </c>
      <c r="C973" s="108"/>
      <c r="D973" s="90"/>
      <c r="E973" s="90"/>
      <c r="F973" s="90"/>
    </row>
    <row r="974" spans="1:6" x14ac:dyDescent="0.2">
      <c r="A974" s="160"/>
      <c r="B974" s="107" t="s">
        <v>1228</v>
      </c>
      <c r="C974" s="108"/>
      <c r="D974" s="90"/>
      <c r="E974" s="88">
        <v>28.7</v>
      </c>
      <c r="F974" s="88">
        <v>28.7</v>
      </c>
    </row>
    <row r="975" spans="1:6" x14ac:dyDescent="0.2">
      <c r="A975" s="160"/>
      <c r="B975" s="107" t="s">
        <v>1229</v>
      </c>
      <c r="C975" s="108"/>
      <c r="D975" s="90"/>
      <c r="E975" s="90"/>
      <c r="F975" s="90"/>
    </row>
    <row r="976" spans="1:6" x14ac:dyDescent="0.2">
      <c r="A976" s="160"/>
      <c r="B976" s="107" t="s">
        <v>1230</v>
      </c>
      <c r="C976" s="108"/>
      <c r="D976" s="90"/>
      <c r="E976" s="90"/>
      <c r="F976" s="90"/>
    </row>
    <row r="977" spans="1:6" x14ac:dyDescent="0.2">
      <c r="A977" s="154" t="s">
        <v>1084</v>
      </c>
      <c r="B977" s="155" t="s">
        <v>1231</v>
      </c>
      <c r="C977" s="156"/>
      <c r="D977" s="97"/>
      <c r="E977" s="96">
        <v>28.7</v>
      </c>
      <c r="F977" s="96">
        <v>28.7</v>
      </c>
    </row>
    <row r="978" spans="1:6" x14ac:dyDescent="0.2">
      <c r="A978" s="160"/>
      <c r="B978" s="107" t="s">
        <v>1232</v>
      </c>
      <c r="C978" s="108"/>
      <c r="D978" s="90"/>
      <c r="E978" s="88">
        <v>-64.7</v>
      </c>
      <c r="F978" s="88">
        <v>-64.7</v>
      </c>
    </row>
    <row r="979" spans="1:6" x14ac:dyDescent="0.2">
      <c r="A979" s="160"/>
      <c r="B979" s="107" t="s">
        <v>1096</v>
      </c>
      <c r="C979" s="108"/>
      <c r="D979" s="90"/>
      <c r="E979" s="90"/>
      <c r="F979" s="90"/>
    </row>
    <row r="980" spans="1:6" x14ac:dyDescent="0.2">
      <c r="A980" s="160"/>
      <c r="B980" s="107" t="s">
        <v>1233</v>
      </c>
      <c r="C980" s="108"/>
      <c r="D980" s="90"/>
      <c r="E980" s="88" t="s">
        <v>1098</v>
      </c>
      <c r="F980" s="88">
        <v>-9.3000000000000007</v>
      </c>
    </row>
    <row r="981" spans="1:6" x14ac:dyDescent="0.2">
      <c r="A981" s="154" t="s">
        <v>1084</v>
      </c>
      <c r="B981" s="155" t="s">
        <v>1234</v>
      </c>
      <c r="C981" s="156"/>
      <c r="D981" s="97"/>
      <c r="E981" s="96">
        <v>-74</v>
      </c>
      <c r="F981" s="96">
        <v>-74</v>
      </c>
    </row>
    <row r="982" spans="1:6" x14ac:dyDescent="0.2">
      <c r="A982" s="160"/>
      <c r="B982" s="107" t="s">
        <v>1094</v>
      </c>
      <c r="C982" s="108"/>
      <c r="D982" s="90"/>
      <c r="E982" s="88">
        <v>287.3</v>
      </c>
      <c r="F982" s="88">
        <v>287.3</v>
      </c>
    </row>
    <row r="983" spans="1:6" x14ac:dyDescent="0.2">
      <c r="A983" s="160"/>
      <c r="B983" s="107" t="s">
        <v>1235</v>
      </c>
      <c r="C983" s="108"/>
      <c r="D983" s="90"/>
      <c r="E983" s="90"/>
      <c r="F983" s="90"/>
    </row>
    <row r="984" spans="1:6" x14ac:dyDescent="0.2">
      <c r="A984" s="160"/>
      <c r="B984" s="107" t="s">
        <v>1092</v>
      </c>
      <c r="C984" s="108"/>
      <c r="D984" s="90"/>
      <c r="E984" s="90"/>
      <c r="F984" s="90"/>
    </row>
    <row r="985" spans="1:6" x14ac:dyDescent="0.2">
      <c r="A985" s="160"/>
      <c r="B985" s="107" t="s">
        <v>1093</v>
      </c>
      <c r="C985" s="108"/>
      <c r="D985" s="90"/>
      <c r="E985" s="90"/>
      <c r="F985" s="90"/>
    </row>
    <row r="986" spans="1:6" x14ac:dyDescent="0.2">
      <c r="A986" s="154" t="s">
        <v>1084</v>
      </c>
      <c r="B986" s="155" t="s">
        <v>1236</v>
      </c>
      <c r="C986" s="156"/>
      <c r="D986" s="97"/>
      <c r="E986" s="96">
        <v>287.3</v>
      </c>
      <c r="F986" s="96">
        <v>287.3</v>
      </c>
    </row>
    <row r="987" spans="1:6" x14ac:dyDescent="0.2">
      <c r="A987" s="160"/>
      <c r="B987" s="107" t="s">
        <v>1237</v>
      </c>
      <c r="C987" s="108"/>
      <c r="D987" s="90"/>
      <c r="E987" s="90"/>
      <c r="F987" s="90"/>
    </row>
    <row r="988" spans="1:6" x14ac:dyDescent="0.2">
      <c r="A988" s="160"/>
      <c r="B988" s="107" t="s">
        <v>1238</v>
      </c>
      <c r="C988" s="108"/>
      <c r="D988" s="90"/>
      <c r="E988" s="90"/>
      <c r="F988" s="90"/>
    </row>
    <row r="989" spans="1:6" x14ac:dyDescent="0.2">
      <c r="A989" s="160"/>
      <c r="B989" s="107" t="s">
        <v>1239</v>
      </c>
      <c r="C989" s="108"/>
      <c r="D989" s="90"/>
      <c r="E989" s="88" t="s">
        <v>1240</v>
      </c>
      <c r="F989" s="88">
        <v>-73.2</v>
      </c>
    </row>
    <row r="990" spans="1:6" x14ac:dyDescent="0.2">
      <c r="A990" s="160"/>
      <c r="B990" s="107" t="s">
        <v>1241</v>
      </c>
      <c r="C990" s="108"/>
      <c r="D990" s="90"/>
      <c r="E990" s="90"/>
      <c r="F990" s="90"/>
    </row>
    <row r="991" spans="1:6" x14ac:dyDescent="0.2">
      <c r="A991" s="154" t="s">
        <v>1084</v>
      </c>
      <c r="B991" s="155" t="s">
        <v>1242</v>
      </c>
      <c r="C991" s="156"/>
      <c r="D991" s="97"/>
      <c r="E991" s="96">
        <v>-73.2</v>
      </c>
      <c r="F991" s="96">
        <v>-73.2</v>
      </c>
    </row>
    <row r="992" spans="1:6" x14ac:dyDescent="0.2">
      <c r="A992" s="154" t="s">
        <v>1086</v>
      </c>
      <c r="B992" s="155" t="s">
        <v>1121</v>
      </c>
      <c r="C992" s="156"/>
      <c r="D992" s="97"/>
      <c r="E992" s="96">
        <v>708.6</v>
      </c>
      <c r="F992" s="96">
        <v>708.6</v>
      </c>
    </row>
    <row r="993" spans="1:6" x14ac:dyDescent="0.2">
      <c r="A993" s="160"/>
      <c r="B993" s="107" t="s">
        <v>1243</v>
      </c>
      <c r="C993" s="108"/>
      <c r="D993" s="90"/>
      <c r="E993" s="88">
        <v>102.4</v>
      </c>
      <c r="F993" s="88">
        <v>102.4</v>
      </c>
    </row>
    <row r="994" spans="1:6" x14ac:dyDescent="0.2">
      <c r="A994" s="160"/>
      <c r="B994" s="107" t="s">
        <v>1244</v>
      </c>
      <c r="C994" s="108"/>
      <c r="D994" s="90"/>
      <c r="E994" s="88">
        <v>0.5</v>
      </c>
      <c r="F994" s="88">
        <v>0.5</v>
      </c>
    </row>
    <row r="995" spans="1:6" x14ac:dyDescent="0.2">
      <c r="A995" s="160"/>
      <c r="B995" s="107" t="s">
        <v>1245</v>
      </c>
      <c r="C995" s="108"/>
      <c r="D995" s="90"/>
      <c r="E995" s="90"/>
      <c r="F995" s="90"/>
    </row>
    <row r="996" spans="1:6" x14ac:dyDescent="0.2">
      <c r="A996" s="160"/>
      <c r="B996" s="107" t="s">
        <v>1246</v>
      </c>
      <c r="C996" s="108"/>
      <c r="D996" s="90"/>
      <c r="E996" s="90"/>
      <c r="F996" s="90"/>
    </row>
    <row r="997" spans="1:6" x14ac:dyDescent="0.2">
      <c r="A997" s="160"/>
      <c r="B997" s="107" t="s">
        <v>1247</v>
      </c>
      <c r="C997" s="108"/>
      <c r="D997" s="90"/>
      <c r="E997" s="88">
        <v>7.7</v>
      </c>
      <c r="F997" s="88">
        <v>7.7</v>
      </c>
    </row>
    <row r="998" spans="1:6" x14ac:dyDescent="0.2">
      <c r="A998" s="160"/>
      <c r="B998" s="107" t="s">
        <v>1248</v>
      </c>
      <c r="C998" s="108"/>
      <c r="D998" s="90"/>
      <c r="E998" s="90"/>
      <c r="F998" s="90"/>
    </row>
    <row r="999" spans="1:6" x14ac:dyDescent="0.2">
      <c r="A999" s="154" t="s">
        <v>1084</v>
      </c>
      <c r="B999" s="155" t="s">
        <v>1249</v>
      </c>
      <c r="C999" s="156"/>
      <c r="D999" s="97"/>
      <c r="E999" s="96">
        <v>803.8</v>
      </c>
      <c r="F999" s="96">
        <v>803.8</v>
      </c>
    </row>
    <row r="1000" spans="1:6" x14ac:dyDescent="0.2">
      <c r="A1000" s="160"/>
      <c r="B1000" s="107" t="s">
        <v>1166</v>
      </c>
      <c r="C1000" s="108"/>
      <c r="D1000" s="90"/>
      <c r="E1000" s="88">
        <v>-91.8</v>
      </c>
      <c r="F1000" s="88">
        <v>-91.8</v>
      </c>
    </row>
    <row r="1001" spans="1:6" x14ac:dyDescent="0.2">
      <c r="A1001" s="160"/>
      <c r="B1001" s="107" t="s">
        <v>1167</v>
      </c>
      <c r="C1001" s="108"/>
      <c r="D1001" s="90"/>
      <c r="E1001" s="88">
        <v>4.0999999999999996</v>
      </c>
      <c r="F1001" s="88">
        <v>4.0999999999999996</v>
      </c>
    </row>
    <row r="1002" spans="1:6" x14ac:dyDescent="0.2">
      <c r="A1002" s="160"/>
      <c r="B1002" s="107" t="s">
        <v>1168</v>
      </c>
      <c r="C1002" s="108"/>
      <c r="D1002" s="90"/>
      <c r="E1002" s="90"/>
      <c r="F1002" s="90"/>
    </row>
    <row r="1003" spans="1:6" x14ac:dyDescent="0.2">
      <c r="A1003" s="160"/>
      <c r="B1003" s="107" t="s">
        <v>1169</v>
      </c>
      <c r="C1003" s="108"/>
      <c r="D1003" s="90"/>
      <c r="E1003" s="90"/>
      <c r="F1003" s="90"/>
    </row>
    <row r="1004" spans="1:6" x14ac:dyDescent="0.2">
      <c r="A1004" s="160"/>
      <c r="B1004" s="107" t="s">
        <v>1170</v>
      </c>
      <c r="C1004" s="108"/>
      <c r="D1004" s="90"/>
      <c r="E1004" s="90"/>
      <c r="F1004" s="90"/>
    </row>
    <row r="1005" spans="1:6" x14ac:dyDescent="0.2">
      <c r="A1005" s="160"/>
      <c r="B1005" s="107" t="s">
        <v>1171</v>
      </c>
      <c r="C1005" s="108"/>
      <c r="D1005" s="90"/>
      <c r="E1005" s="90"/>
      <c r="F1005" s="90"/>
    </row>
    <row r="1006" spans="1:6" x14ac:dyDescent="0.2">
      <c r="A1006" s="154" t="s">
        <v>1084</v>
      </c>
      <c r="B1006" s="155" t="s">
        <v>1172</v>
      </c>
      <c r="C1006" s="156"/>
      <c r="D1006" s="97"/>
      <c r="E1006" s="96">
        <v>-87.7</v>
      </c>
      <c r="F1006" s="96">
        <v>-87.7</v>
      </c>
    </row>
    <row r="1007" spans="1:6" x14ac:dyDescent="0.2">
      <c r="A1007" s="165"/>
      <c r="B1007" s="155" t="s">
        <v>1250</v>
      </c>
      <c r="C1007" s="156"/>
      <c r="D1007" s="97"/>
      <c r="E1007" s="96">
        <v>716.1</v>
      </c>
      <c r="F1007" s="96">
        <v>716.1</v>
      </c>
    </row>
    <row r="1008" spans="1:6" x14ac:dyDescent="0.2">
      <c r="A1008" s="160"/>
      <c r="B1008" s="107" t="s">
        <v>1251</v>
      </c>
      <c r="C1008" s="108"/>
      <c r="D1008" s="90"/>
      <c r="E1008" s="88">
        <v>102.4</v>
      </c>
      <c r="F1008" s="88">
        <v>102.4</v>
      </c>
    </row>
    <row r="1009" spans="1:7" x14ac:dyDescent="0.2">
      <c r="A1009" s="160"/>
      <c r="B1009" s="107" t="s">
        <v>1252</v>
      </c>
      <c r="C1009" s="108"/>
      <c r="D1009" s="90"/>
      <c r="E1009" s="88">
        <v>0.5</v>
      </c>
      <c r="F1009" s="88">
        <v>0.5</v>
      </c>
    </row>
    <row r="1010" spans="1:7" x14ac:dyDescent="0.2">
      <c r="A1010" s="160"/>
      <c r="B1010" s="107" t="s">
        <v>1253</v>
      </c>
      <c r="C1010" s="108"/>
      <c r="D1010" s="90"/>
      <c r="E1010" s="90"/>
      <c r="F1010" s="90"/>
    </row>
    <row r="1011" spans="1:7" x14ac:dyDescent="0.2">
      <c r="A1011" s="160"/>
      <c r="B1011" s="107" t="s">
        <v>1254</v>
      </c>
      <c r="C1011" s="108"/>
      <c r="D1011" s="90"/>
      <c r="E1011" s="90"/>
      <c r="F1011" s="90"/>
    </row>
    <row r="1012" spans="1:7" x14ac:dyDescent="0.2">
      <c r="A1012" s="160"/>
      <c r="B1012" s="107" t="s">
        <v>1255</v>
      </c>
      <c r="C1012" s="108"/>
      <c r="D1012" s="90"/>
      <c r="E1012" s="90"/>
      <c r="F1012" s="90"/>
    </row>
    <row r="1013" spans="1:7" x14ac:dyDescent="0.2">
      <c r="A1013" s="154" t="s">
        <v>1086</v>
      </c>
      <c r="B1013" s="155" t="s">
        <v>1256</v>
      </c>
      <c r="C1013" s="156"/>
      <c r="D1013" s="97"/>
      <c r="E1013" s="96">
        <v>613.20000000000005</v>
      </c>
      <c r="F1013" s="96">
        <v>613.20000000000005</v>
      </c>
    </row>
    <row r="1014" spans="1:7" x14ac:dyDescent="0.2">
      <c r="A1014" s="107" t="s">
        <v>1223</v>
      </c>
      <c r="B1014" s="164"/>
      <c r="C1014" s="164"/>
      <c r="D1014" s="164"/>
      <c r="E1014" s="164"/>
      <c r="F1014" s="108"/>
    </row>
    <row r="1015" spans="1:7" ht="16" x14ac:dyDescent="0.2">
      <c r="A1015" s="57"/>
    </row>
    <row r="1016" spans="1:7" ht="16" x14ac:dyDescent="0.2">
      <c r="A1016" s="57"/>
    </row>
    <row r="1017" spans="1:7" ht="16" x14ac:dyDescent="0.2">
      <c r="A1017" s="57" t="s">
        <v>1257</v>
      </c>
    </row>
    <row r="1018" spans="1:7" x14ac:dyDescent="0.2">
      <c r="A1018" s="103" t="s">
        <v>1257</v>
      </c>
      <c r="B1018" s="104"/>
      <c r="C1018" s="105"/>
      <c r="D1018" s="99" t="s">
        <v>1258</v>
      </c>
      <c r="E1018" s="106">
        <v>2023</v>
      </c>
      <c r="F1018" s="106">
        <v>2024</v>
      </c>
      <c r="G1018" s="106" t="s">
        <v>1259</v>
      </c>
    </row>
    <row r="1019" spans="1:7" x14ac:dyDescent="0.2">
      <c r="A1019" s="166"/>
      <c r="B1019" s="167"/>
      <c r="C1019" s="167"/>
      <c r="D1019" s="168"/>
      <c r="E1019" s="106" t="s">
        <v>294</v>
      </c>
      <c r="F1019" s="106" t="s">
        <v>294</v>
      </c>
      <c r="G1019" s="106" t="s">
        <v>295</v>
      </c>
    </row>
    <row r="1020" spans="1:7" x14ac:dyDescent="0.2">
      <c r="A1020" s="160"/>
      <c r="B1020" s="107" t="s">
        <v>315</v>
      </c>
      <c r="C1020" s="108"/>
      <c r="D1020" s="87">
        <v>13549</v>
      </c>
      <c r="E1020" s="90"/>
      <c r="F1020" s="88">
        <v>91.8</v>
      </c>
      <c r="G1020" s="88">
        <v>80</v>
      </c>
    </row>
    <row r="1021" spans="1:7" x14ac:dyDescent="0.2">
      <c r="A1021" s="153" t="s">
        <v>1084</v>
      </c>
      <c r="B1021" s="107" t="s">
        <v>553</v>
      </c>
      <c r="C1021" s="108"/>
      <c r="D1021" s="87">
        <v>13541</v>
      </c>
      <c r="E1021" s="90"/>
      <c r="F1021" s="88">
        <v>7.7</v>
      </c>
      <c r="G1021" s="88">
        <v>83.3</v>
      </c>
    </row>
    <row r="1022" spans="1:7" x14ac:dyDescent="0.2">
      <c r="A1022" s="106" t="s">
        <v>1086</v>
      </c>
      <c r="B1022" s="103" t="s">
        <v>552</v>
      </c>
      <c r="C1022" s="105"/>
      <c r="D1022" s="99">
        <v>13539</v>
      </c>
      <c r="E1022" s="102"/>
      <c r="F1022" s="100">
        <v>99.5</v>
      </c>
      <c r="G1022" s="100">
        <v>80.3</v>
      </c>
    </row>
    <row r="1023" spans="1:7" x14ac:dyDescent="0.2">
      <c r="A1023" s="153" t="s">
        <v>1085</v>
      </c>
      <c r="B1023" s="107" t="s">
        <v>551</v>
      </c>
      <c r="C1023" s="108"/>
      <c r="D1023" s="87">
        <v>13529</v>
      </c>
      <c r="E1023" s="90"/>
      <c r="F1023" s="88">
        <v>-51.8</v>
      </c>
      <c r="G1023" s="88">
        <v>-290.39999999999998</v>
      </c>
    </row>
    <row r="1024" spans="1:7" x14ac:dyDescent="0.2">
      <c r="A1024" s="153" t="s">
        <v>1085</v>
      </c>
      <c r="B1024" s="107" t="s">
        <v>520</v>
      </c>
      <c r="C1024" s="108"/>
      <c r="D1024" s="87">
        <v>13329</v>
      </c>
      <c r="E1024" s="90"/>
      <c r="F1024" s="90"/>
      <c r="G1024" s="90"/>
    </row>
    <row r="1025" spans="1:7" x14ac:dyDescent="0.2">
      <c r="A1025" s="106" t="s">
        <v>1086</v>
      </c>
      <c r="B1025" s="103" t="s">
        <v>512</v>
      </c>
      <c r="C1025" s="105"/>
      <c r="D1025" s="99">
        <v>13279</v>
      </c>
      <c r="E1025" s="102"/>
      <c r="F1025" s="100">
        <v>151.30000000000001</v>
      </c>
      <c r="G1025" s="100">
        <v>440.4</v>
      </c>
    </row>
    <row r="1026" spans="1:7" x14ac:dyDescent="0.2">
      <c r="A1026" s="153" t="s">
        <v>1084</v>
      </c>
      <c r="B1026" s="107" t="s">
        <v>103</v>
      </c>
      <c r="C1026" s="108"/>
      <c r="D1026" s="87">
        <v>88700</v>
      </c>
      <c r="E1026" s="90"/>
      <c r="F1026" s="88">
        <v>102.9</v>
      </c>
      <c r="G1026" s="88">
        <v>-2</v>
      </c>
    </row>
    <row r="1027" spans="1:7" x14ac:dyDescent="0.2">
      <c r="A1027" s="106" t="s">
        <v>1086</v>
      </c>
      <c r="B1027" s="103" t="s">
        <v>1260</v>
      </c>
      <c r="C1027" s="105"/>
      <c r="D1027" s="99">
        <v>88702</v>
      </c>
      <c r="E1027" s="102"/>
      <c r="F1027" s="100">
        <v>254.2</v>
      </c>
      <c r="G1027" s="100">
        <v>91.1</v>
      </c>
    </row>
    <row r="1028" spans="1:7" ht="18" customHeight="1" x14ac:dyDescent="0.2">
      <c r="A1028" s="153" t="s">
        <v>1084</v>
      </c>
      <c r="B1028" s="107" t="s">
        <v>489</v>
      </c>
      <c r="C1028" s="108"/>
      <c r="D1028" s="87">
        <v>13199</v>
      </c>
      <c r="E1028" s="90"/>
      <c r="F1028" s="88">
        <v>431.7</v>
      </c>
      <c r="G1028" s="88">
        <v>-6</v>
      </c>
    </row>
    <row r="1029" spans="1:7" x14ac:dyDescent="0.2">
      <c r="A1029" s="106" t="s">
        <v>1086</v>
      </c>
      <c r="B1029" s="103" t="s">
        <v>26</v>
      </c>
      <c r="C1029" s="105"/>
      <c r="D1029" s="99">
        <v>88703</v>
      </c>
      <c r="E1029" s="102"/>
      <c r="F1029" s="100">
        <v>685.9</v>
      </c>
      <c r="G1029" s="100">
        <v>15.8</v>
      </c>
    </row>
    <row r="1030" spans="1:7" x14ac:dyDescent="0.2">
      <c r="A1030" s="153" t="s">
        <v>1085</v>
      </c>
      <c r="B1030" s="107" t="s">
        <v>1261</v>
      </c>
      <c r="C1030" s="108"/>
      <c r="D1030" s="87">
        <v>88784</v>
      </c>
      <c r="E1030" s="90"/>
      <c r="F1030" s="88">
        <v>7.7</v>
      </c>
      <c r="G1030" s="88">
        <v>83.3</v>
      </c>
    </row>
    <row r="1031" spans="1:7" x14ac:dyDescent="0.2">
      <c r="A1031" s="154" t="s">
        <v>1086</v>
      </c>
      <c r="B1031" s="155" t="s">
        <v>1262</v>
      </c>
      <c r="C1031" s="156"/>
      <c r="D1031" s="95">
        <v>88785</v>
      </c>
      <c r="E1031" s="97"/>
      <c r="F1031" s="96">
        <v>678.2</v>
      </c>
      <c r="G1031" s="96">
        <v>15.3</v>
      </c>
    </row>
    <row r="1032" spans="1:7" x14ac:dyDescent="0.2">
      <c r="A1032" s="161"/>
      <c r="B1032" s="162"/>
      <c r="C1032" s="162"/>
      <c r="D1032" s="162"/>
      <c r="E1032" s="162"/>
      <c r="F1032" s="162"/>
      <c r="G1032" s="163"/>
    </row>
    <row r="1033" spans="1:7" x14ac:dyDescent="0.2">
      <c r="A1033" s="160"/>
      <c r="B1033" s="107" t="s">
        <v>1263</v>
      </c>
      <c r="C1033" s="108"/>
      <c r="D1033" s="87">
        <v>88710</v>
      </c>
      <c r="E1033" s="90"/>
      <c r="F1033" s="88">
        <v>287.3</v>
      </c>
      <c r="G1033" s="88">
        <v>134.4</v>
      </c>
    </row>
    <row r="1034" spans="1:7" x14ac:dyDescent="0.2">
      <c r="A1034" s="153" t="s">
        <v>1084</v>
      </c>
      <c r="B1034" s="107" t="s">
        <v>1232</v>
      </c>
      <c r="C1034" s="108"/>
      <c r="D1034" s="87">
        <v>88711</v>
      </c>
      <c r="E1034" s="90"/>
      <c r="F1034" s="88">
        <v>-64.7</v>
      </c>
      <c r="G1034" s="88">
        <v>-57.8</v>
      </c>
    </row>
    <row r="1035" spans="1:7" x14ac:dyDescent="0.2">
      <c r="A1035" s="153" t="s">
        <v>1084</v>
      </c>
      <c r="B1035" s="107" t="s">
        <v>1264</v>
      </c>
      <c r="C1035" s="108"/>
      <c r="D1035" s="87" t="s">
        <v>1265</v>
      </c>
      <c r="E1035" s="90"/>
      <c r="F1035" s="88">
        <v>-73.2</v>
      </c>
      <c r="G1035" s="88">
        <v>-125.5</v>
      </c>
    </row>
    <row r="1036" spans="1:7" x14ac:dyDescent="0.2">
      <c r="A1036" s="153" t="s">
        <v>1084</v>
      </c>
      <c r="B1036" s="107" t="s">
        <v>1266</v>
      </c>
      <c r="C1036" s="108"/>
      <c r="D1036" s="87" t="s">
        <v>1267</v>
      </c>
      <c r="E1036" s="90"/>
      <c r="F1036" s="88">
        <v>-9.3000000000000007</v>
      </c>
      <c r="G1036" s="88">
        <v>-200</v>
      </c>
    </row>
    <row r="1037" spans="1:7" x14ac:dyDescent="0.2">
      <c r="A1037" s="153" t="s">
        <v>1084</v>
      </c>
      <c r="B1037" s="107" t="s">
        <v>1268</v>
      </c>
      <c r="C1037" s="108"/>
      <c r="D1037" s="87">
        <v>88712</v>
      </c>
      <c r="E1037" s="90"/>
      <c r="F1037" s="88">
        <v>-35.4</v>
      </c>
      <c r="G1037" s="88">
        <v>-103.5</v>
      </c>
    </row>
    <row r="1038" spans="1:7" x14ac:dyDescent="0.2">
      <c r="A1038" s="153" t="s">
        <v>1084</v>
      </c>
      <c r="B1038" s="107" t="s">
        <v>1269</v>
      </c>
      <c r="C1038" s="108"/>
      <c r="D1038" s="87">
        <v>88717</v>
      </c>
      <c r="E1038" s="90"/>
      <c r="F1038" s="88">
        <v>1.1000000000000001</v>
      </c>
      <c r="G1038" s="88">
        <v>-99.5</v>
      </c>
    </row>
    <row r="1039" spans="1:7" x14ac:dyDescent="0.2">
      <c r="A1039" s="106" t="s">
        <v>1086</v>
      </c>
      <c r="B1039" s="103" t="s">
        <v>1270</v>
      </c>
      <c r="C1039" s="105"/>
      <c r="D1039" s="99">
        <v>88719</v>
      </c>
      <c r="E1039" s="102"/>
      <c r="F1039" s="100">
        <v>105.8</v>
      </c>
      <c r="G1039" s="100">
        <v>129.80000000000001</v>
      </c>
    </row>
    <row r="1040" spans="1:7" x14ac:dyDescent="0.2">
      <c r="A1040" s="161"/>
      <c r="B1040" s="162"/>
      <c r="C1040" s="162"/>
      <c r="D1040" s="162"/>
      <c r="E1040" s="162"/>
      <c r="F1040" s="162"/>
      <c r="G1040" s="163"/>
    </row>
    <row r="1041" spans="1:7" x14ac:dyDescent="0.2">
      <c r="A1041" s="153" t="s">
        <v>1085</v>
      </c>
      <c r="B1041" s="107" t="s">
        <v>615</v>
      </c>
      <c r="C1041" s="108"/>
      <c r="D1041" s="87">
        <v>88701</v>
      </c>
      <c r="E1041" s="90"/>
      <c r="F1041" s="88">
        <v>102.9</v>
      </c>
      <c r="G1041" s="88">
        <v>-2</v>
      </c>
    </row>
    <row r="1042" spans="1:7" x14ac:dyDescent="0.2">
      <c r="A1042" s="154" t="s">
        <v>1086</v>
      </c>
      <c r="B1042" s="155" t="s">
        <v>1271</v>
      </c>
      <c r="C1042" s="156"/>
      <c r="D1042" s="95">
        <v>88786</v>
      </c>
      <c r="E1042" s="97"/>
      <c r="F1042" s="96">
        <v>681.1</v>
      </c>
      <c r="G1042" s="96">
        <v>430.4</v>
      </c>
    </row>
    <row r="1043" spans="1:7" x14ac:dyDescent="0.2">
      <c r="A1043" s="161"/>
      <c r="B1043" s="162"/>
      <c r="C1043" s="162"/>
      <c r="D1043" s="162"/>
      <c r="E1043" s="162"/>
      <c r="F1043" s="162"/>
      <c r="G1043" s="163"/>
    </row>
    <row r="1044" spans="1:7" x14ac:dyDescent="0.2">
      <c r="A1044" s="153" t="s">
        <v>1085</v>
      </c>
      <c r="B1044" s="107" t="s">
        <v>1272</v>
      </c>
      <c r="C1044" s="108"/>
      <c r="D1044" s="87">
        <v>88795</v>
      </c>
      <c r="E1044" s="90"/>
      <c r="F1044" s="90"/>
      <c r="G1044" s="90"/>
    </row>
    <row r="1045" spans="1:7" x14ac:dyDescent="0.2">
      <c r="A1045" s="153" t="s">
        <v>1084</v>
      </c>
      <c r="B1045" s="107" t="s">
        <v>1273</v>
      </c>
      <c r="C1045" s="108"/>
      <c r="D1045" s="87">
        <v>88740</v>
      </c>
      <c r="E1045" s="90"/>
      <c r="F1045" s="88">
        <v>-1.4</v>
      </c>
      <c r="G1045" s="88">
        <v>50</v>
      </c>
    </row>
    <row r="1046" spans="1:7" x14ac:dyDescent="0.2">
      <c r="A1046" s="153" t="s">
        <v>1085</v>
      </c>
      <c r="B1046" s="107" t="s">
        <v>1274</v>
      </c>
      <c r="C1046" s="108"/>
      <c r="D1046" s="87">
        <v>88796</v>
      </c>
      <c r="E1046" s="90"/>
      <c r="F1046" s="90"/>
      <c r="G1046" s="90"/>
    </row>
    <row r="1047" spans="1:7" x14ac:dyDescent="0.2">
      <c r="A1047" s="153" t="s">
        <v>1084</v>
      </c>
      <c r="B1047" s="107" t="s">
        <v>1275</v>
      </c>
      <c r="C1047" s="108"/>
      <c r="D1047" s="87">
        <v>88741</v>
      </c>
      <c r="E1047" s="90"/>
      <c r="F1047" s="88">
        <v>-250.9</v>
      </c>
      <c r="G1047" s="88">
        <v>93.4</v>
      </c>
    </row>
    <row r="1048" spans="1:7" x14ac:dyDescent="0.2">
      <c r="A1048" s="153" t="s">
        <v>1085</v>
      </c>
      <c r="B1048" s="107" t="s">
        <v>1276</v>
      </c>
      <c r="C1048" s="108"/>
      <c r="D1048" s="87">
        <v>88797</v>
      </c>
      <c r="E1048" s="90"/>
      <c r="F1048" s="90"/>
      <c r="G1048" s="90"/>
    </row>
    <row r="1049" spans="1:7" x14ac:dyDescent="0.2">
      <c r="A1049" s="153" t="s">
        <v>1084</v>
      </c>
      <c r="B1049" s="107" t="s">
        <v>1277</v>
      </c>
      <c r="C1049" s="108"/>
      <c r="D1049" s="87">
        <v>88742</v>
      </c>
      <c r="E1049" s="90"/>
      <c r="F1049" s="90"/>
      <c r="G1049" s="90"/>
    </row>
    <row r="1050" spans="1:7" x14ac:dyDescent="0.2">
      <c r="A1050" s="154" t="s">
        <v>1086</v>
      </c>
      <c r="B1050" s="155" t="s">
        <v>1278</v>
      </c>
      <c r="C1050" s="156"/>
      <c r="D1050" s="95">
        <v>88744</v>
      </c>
      <c r="E1050" s="97"/>
      <c r="F1050" s="96">
        <v>-252.3</v>
      </c>
      <c r="G1050" s="96">
        <v>93.4</v>
      </c>
    </row>
    <row r="1051" spans="1:7" x14ac:dyDescent="0.2">
      <c r="A1051" s="161"/>
      <c r="B1051" s="162"/>
      <c r="C1051" s="162"/>
      <c r="D1051" s="162"/>
      <c r="E1051" s="162"/>
      <c r="F1051" s="162"/>
      <c r="G1051" s="163"/>
    </row>
    <row r="1052" spans="1:7" x14ac:dyDescent="0.2">
      <c r="A1052" s="160"/>
      <c r="B1052" s="107" t="s">
        <v>1279</v>
      </c>
      <c r="C1052" s="108"/>
      <c r="D1052" s="87">
        <v>88764</v>
      </c>
      <c r="E1052" s="90"/>
      <c r="F1052" s="88">
        <v>791.7</v>
      </c>
      <c r="G1052" s="88">
        <v>-76.8</v>
      </c>
    </row>
    <row r="1053" spans="1:7" x14ac:dyDescent="0.2">
      <c r="A1053" s="153" t="s">
        <v>1084</v>
      </c>
      <c r="B1053" s="107" t="s">
        <v>1280</v>
      </c>
      <c r="C1053" s="108"/>
      <c r="D1053" s="87">
        <v>88765</v>
      </c>
      <c r="E1053" s="90"/>
      <c r="F1053" s="88">
        <v>-190</v>
      </c>
      <c r="G1053" s="88">
        <v>-173.1</v>
      </c>
    </row>
    <row r="1054" spans="1:7" x14ac:dyDescent="0.2">
      <c r="A1054" s="106" t="s">
        <v>1086</v>
      </c>
      <c r="B1054" s="103" t="s">
        <v>1281</v>
      </c>
      <c r="C1054" s="105"/>
      <c r="D1054" s="99">
        <v>88787</v>
      </c>
      <c r="E1054" s="102"/>
      <c r="F1054" s="100">
        <v>601.70000000000005</v>
      </c>
      <c r="G1054" s="100">
        <v>-83.6</v>
      </c>
    </row>
    <row r="1055" spans="1:7" x14ac:dyDescent="0.2">
      <c r="A1055" s="153" t="s">
        <v>1084</v>
      </c>
      <c r="B1055" s="107" t="s">
        <v>1282</v>
      </c>
      <c r="C1055" s="108"/>
      <c r="D1055" s="87">
        <v>88788</v>
      </c>
      <c r="E1055" s="90"/>
      <c r="F1055" s="90"/>
      <c r="G1055" s="90"/>
    </row>
    <row r="1056" spans="1:7" x14ac:dyDescent="0.2">
      <c r="A1056" s="153" t="s">
        <v>1084</v>
      </c>
      <c r="B1056" s="107" t="s">
        <v>1283</v>
      </c>
      <c r="C1056" s="108"/>
      <c r="D1056" s="87">
        <v>88763</v>
      </c>
      <c r="E1056" s="90"/>
      <c r="F1056" s="90"/>
      <c r="G1056" s="90"/>
    </row>
    <row r="1057" spans="1:7" x14ac:dyDescent="0.2">
      <c r="A1057" s="153" t="s">
        <v>1084</v>
      </c>
      <c r="B1057" s="107" t="s">
        <v>1284</v>
      </c>
      <c r="C1057" s="108"/>
      <c r="D1057" s="87">
        <v>88761</v>
      </c>
      <c r="E1057" s="90"/>
      <c r="F1057" s="88">
        <v>-448.6</v>
      </c>
      <c r="G1057" s="88">
        <v>-211.8</v>
      </c>
    </row>
    <row r="1058" spans="1:7" x14ac:dyDescent="0.2">
      <c r="A1058" s="106" t="s">
        <v>1086</v>
      </c>
      <c r="B1058" s="103" t="s">
        <v>1285</v>
      </c>
      <c r="C1058" s="105"/>
      <c r="D1058" s="99">
        <v>88790</v>
      </c>
      <c r="E1058" s="102"/>
      <c r="F1058" s="100">
        <v>153.1</v>
      </c>
      <c r="G1058" s="100">
        <v>-96.2</v>
      </c>
    </row>
    <row r="1059" spans="1:7" x14ac:dyDescent="0.2">
      <c r="A1059" s="161"/>
      <c r="B1059" s="162"/>
      <c r="C1059" s="162"/>
      <c r="D1059" s="162"/>
      <c r="E1059" s="162"/>
      <c r="F1059" s="162"/>
      <c r="G1059" s="163"/>
    </row>
    <row r="1060" spans="1:7" x14ac:dyDescent="0.2">
      <c r="A1060" s="106" t="s">
        <v>1084</v>
      </c>
      <c r="B1060" s="103" t="s">
        <v>1286</v>
      </c>
      <c r="C1060" s="105"/>
      <c r="D1060" s="99">
        <v>88771</v>
      </c>
      <c r="E1060" s="102"/>
      <c r="F1060" s="100">
        <v>-139.5</v>
      </c>
      <c r="G1060" s="100">
        <v>-293.5</v>
      </c>
    </row>
    <row r="1061" spans="1:7" x14ac:dyDescent="0.2">
      <c r="A1061" s="160"/>
      <c r="B1061" s="107" t="s">
        <v>1287</v>
      </c>
      <c r="C1061" s="108"/>
      <c r="D1061" s="87">
        <v>88798</v>
      </c>
      <c r="E1061" s="90"/>
      <c r="F1061" s="90"/>
      <c r="G1061" s="90"/>
    </row>
    <row r="1062" spans="1:7" x14ac:dyDescent="0.2">
      <c r="A1062" s="160"/>
      <c r="B1062" s="107" t="s">
        <v>1288</v>
      </c>
      <c r="C1062" s="108"/>
      <c r="D1062" s="87">
        <v>88768</v>
      </c>
      <c r="E1062" s="90"/>
      <c r="F1062" s="88">
        <v>-15.2</v>
      </c>
      <c r="G1062" s="88">
        <v>41.8</v>
      </c>
    </row>
    <row r="1063" spans="1:7" x14ac:dyDescent="0.2">
      <c r="A1063" s="154" t="s">
        <v>1086</v>
      </c>
      <c r="B1063" s="155" t="s">
        <v>1289</v>
      </c>
      <c r="C1063" s="156"/>
      <c r="D1063" s="95">
        <v>88772</v>
      </c>
      <c r="E1063" s="97"/>
      <c r="F1063" s="96">
        <v>13.6</v>
      </c>
      <c r="G1063" s="96">
        <v>-99.7</v>
      </c>
    </row>
    <row r="1064" spans="1:7" x14ac:dyDescent="0.2">
      <c r="A1064" s="161"/>
      <c r="B1064" s="162"/>
      <c r="C1064" s="162"/>
      <c r="D1064" s="162"/>
      <c r="E1064" s="162"/>
      <c r="F1064" s="162"/>
      <c r="G1064" s="163"/>
    </row>
    <row r="1065" spans="1:7" x14ac:dyDescent="0.2">
      <c r="A1065" s="165"/>
      <c r="B1065" s="155" t="s">
        <v>1216</v>
      </c>
      <c r="C1065" s="156"/>
      <c r="D1065" s="95">
        <v>88743</v>
      </c>
      <c r="E1065" s="97"/>
      <c r="F1065" s="96">
        <v>-2.6</v>
      </c>
      <c r="G1065" s="96">
        <v>-111.1</v>
      </c>
    </row>
    <row r="1066" spans="1:7" x14ac:dyDescent="0.2">
      <c r="A1066" s="161"/>
      <c r="B1066" s="162"/>
      <c r="C1066" s="162"/>
      <c r="D1066" s="162"/>
      <c r="E1066" s="162"/>
      <c r="F1066" s="162"/>
      <c r="G1066" s="163"/>
    </row>
    <row r="1067" spans="1:7" x14ac:dyDescent="0.2">
      <c r="A1067" s="165"/>
      <c r="B1067" s="155" t="s">
        <v>1290</v>
      </c>
      <c r="C1067" s="156"/>
      <c r="D1067" s="95">
        <v>88780</v>
      </c>
      <c r="E1067" s="97"/>
      <c r="F1067" s="96">
        <v>8.1</v>
      </c>
      <c r="G1067" s="96">
        <v>-69.3</v>
      </c>
    </row>
    <row r="1068" spans="1:7" x14ac:dyDescent="0.2">
      <c r="A1068" s="161"/>
      <c r="B1068" s="162"/>
      <c r="C1068" s="162"/>
      <c r="D1068" s="162"/>
      <c r="E1068" s="162"/>
      <c r="F1068" s="162"/>
      <c r="G1068" s="163"/>
    </row>
    <row r="1069" spans="1:7" x14ac:dyDescent="0.2">
      <c r="A1069" s="169"/>
      <c r="B1069" s="103" t="s">
        <v>1291</v>
      </c>
      <c r="C1069" s="105"/>
      <c r="D1069" s="99">
        <v>88800</v>
      </c>
      <c r="E1069" s="102"/>
      <c r="F1069" s="100">
        <v>439.8</v>
      </c>
      <c r="G1069" s="100">
        <v>-9.5</v>
      </c>
    </row>
    <row r="1070" spans="1:7" x14ac:dyDescent="0.2">
      <c r="A1070" s="161"/>
      <c r="B1070" s="162"/>
      <c r="C1070" s="162"/>
      <c r="D1070" s="162"/>
      <c r="E1070" s="162"/>
      <c r="F1070" s="162"/>
      <c r="G1070" s="163"/>
    </row>
    <row r="1071" spans="1:7" x14ac:dyDescent="0.2">
      <c r="A1071" s="109"/>
      <c r="B1071" s="110"/>
      <c r="C1071" s="110"/>
      <c r="D1071" s="110"/>
      <c r="E1071" s="110"/>
      <c r="F1071" s="110"/>
      <c r="G1071" s="111"/>
    </row>
    <row r="1072" spans="1:7" x14ac:dyDescent="0.2">
      <c r="A1072" s="103" t="s">
        <v>1292</v>
      </c>
      <c r="B1072" s="104"/>
      <c r="C1072" s="105"/>
      <c r="D1072" s="99" t="s">
        <v>1258</v>
      </c>
      <c r="E1072" s="106">
        <v>2023</v>
      </c>
      <c r="F1072" s="106">
        <v>2024</v>
      </c>
      <c r="G1072" s="106" t="s">
        <v>1259</v>
      </c>
    </row>
    <row r="1073" spans="1:7" x14ac:dyDescent="0.2">
      <c r="A1073" s="166"/>
      <c r="B1073" s="167"/>
      <c r="C1073" s="167"/>
      <c r="D1073" s="168"/>
      <c r="E1073" s="106" t="s">
        <v>294</v>
      </c>
      <c r="F1073" s="106" t="s">
        <v>294</v>
      </c>
      <c r="G1073" s="106" t="s">
        <v>295</v>
      </c>
    </row>
    <row r="1074" spans="1:7" x14ac:dyDescent="0.2">
      <c r="A1074" s="160"/>
      <c r="B1074" s="107" t="s">
        <v>1281</v>
      </c>
      <c r="C1074" s="108"/>
      <c r="D1074" s="87">
        <v>88787</v>
      </c>
      <c r="E1074" s="90"/>
      <c r="F1074" s="88">
        <v>601.70000000000005</v>
      </c>
      <c r="G1074" s="88">
        <v>-83.6</v>
      </c>
    </row>
    <row r="1075" spans="1:7" x14ac:dyDescent="0.2">
      <c r="A1075" s="153" t="s">
        <v>1084</v>
      </c>
      <c r="B1075" s="107" t="s">
        <v>1290</v>
      </c>
      <c r="C1075" s="108"/>
      <c r="D1075" s="87">
        <v>88780</v>
      </c>
      <c r="E1075" s="90"/>
      <c r="F1075" s="88">
        <v>8.1</v>
      </c>
      <c r="G1075" s="88">
        <v>-69.3</v>
      </c>
    </row>
    <row r="1076" spans="1:7" x14ac:dyDescent="0.2">
      <c r="A1076" s="154" t="s">
        <v>1086</v>
      </c>
      <c r="B1076" s="155" t="s">
        <v>1293</v>
      </c>
      <c r="C1076" s="156"/>
      <c r="D1076" s="95">
        <v>88791</v>
      </c>
      <c r="E1076" s="97"/>
      <c r="F1076" s="96">
        <v>609.79999999999995</v>
      </c>
      <c r="G1076" s="96">
        <v>-83.5</v>
      </c>
    </row>
    <row r="1077" spans="1:7" x14ac:dyDescent="0.2">
      <c r="A1077" s="153" t="s">
        <v>1084</v>
      </c>
      <c r="B1077" s="107" t="s">
        <v>1270</v>
      </c>
      <c r="C1077" s="108"/>
      <c r="D1077" s="87">
        <v>88719</v>
      </c>
      <c r="E1077" s="90"/>
      <c r="F1077" s="88">
        <v>105.8</v>
      </c>
      <c r="G1077" s="88">
        <v>129.80000000000001</v>
      </c>
    </row>
    <row r="1078" spans="1:7" x14ac:dyDescent="0.2">
      <c r="A1078" s="154" t="s">
        <v>1086</v>
      </c>
      <c r="B1078" s="155" t="s">
        <v>1294</v>
      </c>
      <c r="C1078" s="156"/>
      <c r="D1078" s="95">
        <v>88792</v>
      </c>
      <c r="E1078" s="97"/>
      <c r="F1078" s="96">
        <v>715.6</v>
      </c>
      <c r="G1078" s="96">
        <v>-78.599999999999994</v>
      </c>
    </row>
    <row r="1079" spans="1:7" x14ac:dyDescent="0.2">
      <c r="A1079" s="160"/>
      <c r="B1079" s="107" t="s">
        <v>1278</v>
      </c>
      <c r="C1079" s="108"/>
      <c r="D1079" s="87">
        <v>88744</v>
      </c>
      <c r="E1079" s="90"/>
      <c r="F1079" s="88">
        <v>-252.3</v>
      </c>
      <c r="G1079" s="88">
        <v>93.4</v>
      </c>
    </row>
    <row r="1080" spans="1:7" ht="18" customHeight="1" x14ac:dyDescent="0.2">
      <c r="A1080" s="160"/>
      <c r="B1080" s="107" t="s">
        <v>1137</v>
      </c>
      <c r="C1080" s="108"/>
      <c r="D1080" s="87">
        <v>13199</v>
      </c>
      <c r="E1080" s="90"/>
      <c r="F1080" s="88">
        <v>431.7</v>
      </c>
      <c r="G1080" s="88">
        <v>-6</v>
      </c>
    </row>
    <row r="1081" spans="1:7" x14ac:dyDescent="0.2">
      <c r="A1081" s="153" t="s">
        <v>1084</v>
      </c>
      <c r="B1081" s="107" t="s">
        <v>1295</v>
      </c>
      <c r="C1081" s="108"/>
      <c r="D1081" s="87">
        <v>88793</v>
      </c>
      <c r="E1081" s="90"/>
      <c r="F1081" s="88">
        <v>179.4</v>
      </c>
      <c r="G1081" s="88">
        <v>105.3</v>
      </c>
    </row>
    <row r="1082" spans="1:7" ht="18" customHeight="1" x14ac:dyDescent="0.2">
      <c r="A1082" s="154" t="s">
        <v>1086</v>
      </c>
      <c r="B1082" s="155" t="s">
        <v>1296</v>
      </c>
      <c r="C1082" s="156"/>
      <c r="D1082" s="95">
        <v>88794</v>
      </c>
      <c r="E1082" s="97"/>
      <c r="F1082" s="96">
        <v>895</v>
      </c>
      <c r="G1082" s="98">
        <v>11014.6</v>
      </c>
    </row>
    <row r="1083" spans="1:7" ht="16" x14ac:dyDescent="0.2">
      <c r="A1083" s="57"/>
    </row>
    <row r="1084" spans="1:7" ht="16" x14ac:dyDescent="0.2">
      <c r="A1084" s="57"/>
    </row>
    <row r="1085" spans="1:7" ht="16" x14ac:dyDescent="0.2">
      <c r="A1085" s="57" t="s">
        <v>1297</v>
      </c>
    </row>
  </sheetData>
  <mergeCells count="1039">
    <mergeCell ref="B1080:C1080"/>
    <mergeCell ref="B1081:C1081"/>
    <mergeCell ref="B1082:C1082"/>
    <mergeCell ref="B1074:C1074"/>
    <mergeCell ref="B1075:C1075"/>
    <mergeCell ref="B1076:C1076"/>
    <mergeCell ref="B1077:C1077"/>
    <mergeCell ref="B1078:C1078"/>
    <mergeCell ref="B1079:C1079"/>
    <mergeCell ref="A1068:G1068"/>
    <mergeCell ref="B1069:C1069"/>
    <mergeCell ref="A1070:G1070"/>
    <mergeCell ref="A1071:G1071"/>
    <mergeCell ref="A1072:C1072"/>
    <mergeCell ref="A1073:D1073"/>
    <mergeCell ref="B1062:C1062"/>
    <mergeCell ref="B1063:C1063"/>
    <mergeCell ref="A1064:G1064"/>
    <mergeCell ref="B1065:C1065"/>
    <mergeCell ref="A1066:G1066"/>
    <mergeCell ref="B1067:C1067"/>
    <mergeCell ref="B1056:C1056"/>
    <mergeCell ref="B1057:C1057"/>
    <mergeCell ref="B1058:C1058"/>
    <mergeCell ref="A1059:G1059"/>
    <mergeCell ref="B1060:C1060"/>
    <mergeCell ref="B1061:C1061"/>
    <mergeCell ref="B1050:C1050"/>
    <mergeCell ref="A1051:G1051"/>
    <mergeCell ref="B1052:C1052"/>
    <mergeCell ref="B1053:C1053"/>
    <mergeCell ref="B1054:C1054"/>
    <mergeCell ref="B1055:C1055"/>
    <mergeCell ref="B1044:C1044"/>
    <mergeCell ref="B1045:C1045"/>
    <mergeCell ref="B1046:C1046"/>
    <mergeCell ref="B1047:C1047"/>
    <mergeCell ref="B1048:C1048"/>
    <mergeCell ref="B1049:C1049"/>
    <mergeCell ref="B1038:C1038"/>
    <mergeCell ref="B1039:C1039"/>
    <mergeCell ref="A1040:G1040"/>
    <mergeCell ref="B1041:C1041"/>
    <mergeCell ref="B1042:C1042"/>
    <mergeCell ref="A1043:G1043"/>
    <mergeCell ref="A1032:G1032"/>
    <mergeCell ref="B1033:C1033"/>
    <mergeCell ref="B1034:C1034"/>
    <mergeCell ref="B1035:C1035"/>
    <mergeCell ref="B1036:C1036"/>
    <mergeCell ref="B1037:C1037"/>
    <mergeCell ref="B1026:C1026"/>
    <mergeCell ref="B1027:C1027"/>
    <mergeCell ref="B1028:C1028"/>
    <mergeCell ref="B1029:C1029"/>
    <mergeCell ref="B1030:C1030"/>
    <mergeCell ref="B1031:C1031"/>
    <mergeCell ref="B1020:C1020"/>
    <mergeCell ref="B1021:C1021"/>
    <mergeCell ref="B1022:C1022"/>
    <mergeCell ref="B1023:C1023"/>
    <mergeCell ref="B1024:C1024"/>
    <mergeCell ref="B1025:C1025"/>
    <mergeCell ref="B1011:C1011"/>
    <mergeCell ref="B1012:C1012"/>
    <mergeCell ref="B1013:C1013"/>
    <mergeCell ref="A1014:F1014"/>
    <mergeCell ref="A1018:C1018"/>
    <mergeCell ref="A1019:D1019"/>
    <mergeCell ref="B1005:C1005"/>
    <mergeCell ref="B1006:C1006"/>
    <mergeCell ref="B1007:C1007"/>
    <mergeCell ref="B1008:C1008"/>
    <mergeCell ref="B1009:C1009"/>
    <mergeCell ref="B1010:C1010"/>
    <mergeCell ref="B999:C999"/>
    <mergeCell ref="B1000:C1000"/>
    <mergeCell ref="B1001:C1001"/>
    <mergeCell ref="B1002:C1002"/>
    <mergeCell ref="B1003:C1003"/>
    <mergeCell ref="B1004:C1004"/>
    <mergeCell ref="B993:C993"/>
    <mergeCell ref="B994:C994"/>
    <mergeCell ref="B995:C995"/>
    <mergeCell ref="B996:C996"/>
    <mergeCell ref="B997:C997"/>
    <mergeCell ref="B998:C998"/>
    <mergeCell ref="B987:C987"/>
    <mergeCell ref="B988:C988"/>
    <mergeCell ref="B989:C989"/>
    <mergeCell ref="B990:C990"/>
    <mergeCell ref="B991:C991"/>
    <mergeCell ref="B992:C992"/>
    <mergeCell ref="B981:C981"/>
    <mergeCell ref="B982:C982"/>
    <mergeCell ref="B983:C983"/>
    <mergeCell ref="B984:C984"/>
    <mergeCell ref="B985:C985"/>
    <mergeCell ref="B986:C986"/>
    <mergeCell ref="B975:C975"/>
    <mergeCell ref="B976:C976"/>
    <mergeCell ref="B977:C977"/>
    <mergeCell ref="B978:C978"/>
    <mergeCell ref="B979:C979"/>
    <mergeCell ref="B980:C980"/>
    <mergeCell ref="B969:C969"/>
    <mergeCell ref="B970:C970"/>
    <mergeCell ref="B971:C971"/>
    <mergeCell ref="B972:C972"/>
    <mergeCell ref="B973:C973"/>
    <mergeCell ref="B974:C974"/>
    <mergeCell ref="A960:F960"/>
    <mergeCell ref="A961:F961"/>
    <mergeCell ref="B962:C962"/>
    <mergeCell ref="A963:F963"/>
    <mergeCell ref="A967:C967"/>
    <mergeCell ref="A968:C968"/>
    <mergeCell ref="B954:C954"/>
    <mergeCell ref="A955:F955"/>
    <mergeCell ref="B956:C956"/>
    <mergeCell ref="B957:C957"/>
    <mergeCell ref="A958:F958"/>
    <mergeCell ref="B959:C959"/>
    <mergeCell ref="B948:C948"/>
    <mergeCell ref="B949:C949"/>
    <mergeCell ref="B950:C950"/>
    <mergeCell ref="B951:C951"/>
    <mergeCell ref="B952:C952"/>
    <mergeCell ref="B953:C953"/>
    <mergeCell ref="B942:C942"/>
    <mergeCell ref="B943:C943"/>
    <mergeCell ref="B944:C944"/>
    <mergeCell ref="B945:C945"/>
    <mergeCell ref="B946:C946"/>
    <mergeCell ref="B947:C947"/>
    <mergeCell ref="A936:C936"/>
    <mergeCell ref="A937:C937"/>
    <mergeCell ref="B938:C938"/>
    <mergeCell ref="B939:C939"/>
    <mergeCell ref="B940:C940"/>
    <mergeCell ref="B941:C941"/>
    <mergeCell ref="B930:C930"/>
    <mergeCell ref="B931:C931"/>
    <mergeCell ref="B932:C932"/>
    <mergeCell ref="B933:C933"/>
    <mergeCell ref="B934:C934"/>
    <mergeCell ref="A935:F935"/>
    <mergeCell ref="B924:C924"/>
    <mergeCell ref="B925:C925"/>
    <mergeCell ref="B926:C926"/>
    <mergeCell ref="B927:C927"/>
    <mergeCell ref="B928:C928"/>
    <mergeCell ref="B929:C929"/>
    <mergeCell ref="B918:C918"/>
    <mergeCell ref="B919:C919"/>
    <mergeCell ref="B920:C920"/>
    <mergeCell ref="B921:C921"/>
    <mergeCell ref="B922:C922"/>
    <mergeCell ref="B923:C923"/>
    <mergeCell ref="B912:C912"/>
    <mergeCell ref="B913:C913"/>
    <mergeCell ref="B914:C914"/>
    <mergeCell ref="B915:C915"/>
    <mergeCell ref="B916:C916"/>
    <mergeCell ref="B917:C917"/>
    <mergeCell ref="B906:C906"/>
    <mergeCell ref="A907:F907"/>
    <mergeCell ref="A908:C908"/>
    <mergeCell ref="A909:C909"/>
    <mergeCell ref="B910:C910"/>
    <mergeCell ref="B911:C911"/>
    <mergeCell ref="B900:C900"/>
    <mergeCell ref="B901:C901"/>
    <mergeCell ref="B902:C902"/>
    <mergeCell ref="B903:C903"/>
    <mergeCell ref="B904:C904"/>
    <mergeCell ref="B905:C905"/>
    <mergeCell ref="B894:C894"/>
    <mergeCell ref="B895:C895"/>
    <mergeCell ref="B896:C896"/>
    <mergeCell ref="B897:C897"/>
    <mergeCell ref="B898:C898"/>
    <mergeCell ref="B899:C899"/>
    <mergeCell ref="B888:C888"/>
    <mergeCell ref="B889:C889"/>
    <mergeCell ref="B890:C890"/>
    <mergeCell ref="B891:C891"/>
    <mergeCell ref="B892:C892"/>
    <mergeCell ref="B893:C893"/>
    <mergeCell ref="B882:C882"/>
    <mergeCell ref="B883:C883"/>
    <mergeCell ref="B884:C884"/>
    <mergeCell ref="B885:C885"/>
    <mergeCell ref="B886:C886"/>
    <mergeCell ref="B887:C887"/>
    <mergeCell ref="A876:C876"/>
    <mergeCell ref="A877:C877"/>
    <mergeCell ref="B878:C878"/>
    <mergeCell ref="B879:C879"/>
    <mergeCell ref="B880:C880"/>
    <mergeCell ref="B881:C881"/>
    <mergeCell ref="B870:C870"/>
    <mergeCell ref="B871:C871"/>
    <mergeCell ref="B872:C872"/>
    <mergeCell ref="B873:C873"/>
    <mergeCell ref="B874:C874"/>
    <mergeCell ref="A875:F875"/>
    <mergeCell ref="B864:C864"/>
    <mergeCell ref="B865:C865"/>
    <mergeCell ref="B866:C866"/>
    <mergeCell ref="B867:C867"/>
    <mergeCell ref="B868:C868"/>
    <mergeCell ref="B869:C869"/>
    <mergeCell ref="A858:C858"/>
    <mergeCell ref="A859:C859"/>
    <mergeCell ref="B860:C860"/>
    <mergeCell ref="B861:C861"/>
    <mergeCell ref="B862:C862"/>
    <mergeCell ref="B863:C863"/>
    <mergeCell ref="B852:C852"/>
    <mergeCell ref="B853:C853"/>
    <mergeCell ref="B854:C854"/>
    <mergeCell ref="B855:C855"/>
    <mergeCell ref="B856:C856"/>
    <mergeCell ref="A857:F857"/>
    <mergeCell ref="B846:C846"/>
    <mergeCell ref="B847:C847"/>
    <mergeCell ref="B848:C848"/>
    <mergeCell ref="B849:C849"/>
    <mergeCell ref="B850:C850"/>
    <mergeCell ref="B851:C851"/>
    <mergeCell ref="A840:F840"/>
    <mergeCell ref="A841:C841"/>
    <mergeCell ref="A842:C842"/>
    <mergeCell ref="B843:C843"/>
    <mergeCell ref="B844:C844"/>
    <mergeCell ref="B845:C845"/>
    <mergeCell ref="B834:C834"/>
    <mergeCell ref="B835:C835"/>
    <mergeCell ref="B836:C836"/>
    <mergeCell ref="B837:C837"/>
    <mergeCell ref="B838:C838"/>
    <mergeCell ref="B839:C839"/>
    <mergeCell ref="B828:C828"/>
    <mergeCell ref="B829:C829"/>
    <mergeCell ref="B830:C830"/>
    <mergeCell ref="B831:C831"/>
    <mergeCell ref="B832:C832"/>
    <mergeCell ref="B833:C833"/>
    <mergeCell ref="B822:C822"/>
    <mergeCell ref="B823:C823"/>
    <mergeCell ref="B824:C824"/>
    <mergeCell ref="B825:C825"/>
    <mergeCell ref="B826:C826"/>
    <mergeCell ref="B827:C827"/>
    <mergeCell ref="B816:C816"/>
    <mergeCell ref="B817:C817"/>
    <mergeCell ref="B818:C818"/>
    <mergeCell ref="B819:C819"/>
    <mergeCell ref="B820:C820"/>
    <mergeCell ref="B821:C821"/>
    <mergeCell ref="A810:C810"/>
    <mergeCell ref="A811:C811"/>
    <mergeCell ref="B812:C812"/>
    <mergeCell ref="B813:C813"/>
    <mergeCell ref="B814:C814"/>
    <mergeCell ref="B815:C815"/>
    <mergeCell ref="B799:C799"/>
    <mergeCell ref="G799:H799"/>
    <mergeCell ref="B800:C800"/>
    <mergeCell ref="G800:H800"/>
    <mergeCell ref="B801:C801"/>
    <mergeCell ref="G801:H801"/>
    <mergeCell ref="B796:C796"/>
    <mergeCell ref="G796:H796"/>
    <mergeCell ref="B797:C797"/>
    <mergeCell ref="G797:H797"/>
    <mergeCell ref="B798:C798"/>
    <mergeCell ref="G798:H798"/>
    <mergeCell ref="B793:C793"/>
    <mergeCell ref="G793:H793"/>
    <mergeCell ref="B794:C794"/>
    <mergeCell ref="G794:H794"/>
    <mergeCell ref="B795:C795"/>
    <mergeCell ref="G795:H795"/>
    <mergeCell ref="A789:D790"/>
    <mergeCell ref="G789:H790"/>
    <mergeCell ref="A791:D791"/>
    <mergeCell ref="G791:H791"/>
    <mergeCell ref="B792:C792"/>
    <mergeCell ref="G792:H792"/>
    <mergeCell ref="A783:B783"/>
    <mergeCell ref="C783:F783"/>
    <mergeCell ref="A784:B784"/>
    <mergeCell ref="C784:F784"/>
    <mergeCell ref="A785:B785"/>
    <mergeCell ref="C785:F785"/>
    <mergeCell ref="A780:B780"/>
    <mergeCell ref="C780:F780"/>
    <mergeCell ref="A781:B781"/>
    <mergeCell ref="C781:F781"/>
    <mergeCell ref="A782:B782"/>
    <mergeCell ref="C782:F782"/>
    <mergeCell ref="A777:B777"/>
    <mergeCell ref="C777:F777"/>
    <mergeCell ref="A778:B778"/>
    <mergeCell ref="C778:F778"/>
    <mergeCell ref="A779:B779"/>
    <mergeCell ref="C779:F779"/>
    <mergeCell ref="A774:B774"/>
    <mergeCell ref="C774:F774"/>
    <mergeCell ref="A775:B775"/>
    <mergeCell ref="C775:F775"/>
    <mergeCell ref="A776:B776"/>
    <mergeCell ref="C776:F776"/>
    <mergeCell ref="A771:B771"/>
    <mergeCell ref="C771:F771"/>
    <mergeCell ref="A772:B772"/>
    <mergeCell ref="C772:F772"/>
    <mergeCell ref="A773:B773"/>
    <mergeCell ref="C773:F773"/>
    <mergeCell ref="A768:B768"/>
    <mergeCell ref="C768:F768"/>
    <mergeCell ref="A769:B769"/>
    <mergeCell ref="C769:F769"/>
    <mergeCell ref="A770:B770"/>
    <mergeCell ref="C770:F770"/>
    <mergeCell ref="A765:B765"/>
    <mergeCell ref="C765:F765"/>
    <mergeCell ref="A766:B766"/>
    <mergeCell ref="C766:F766"/>
    <mergeCell ref="A767:B767"/>
    <mergeCell ref="C767:F767"/>
    <mergeCell ref="A762:B762"/>
    <mergeCell ref="C762:F762"/>
    <mergeCell ref="A763:B763"/>
    <mergeCell ref="C763:F763"/>
    <mergeCell ref="A764:B764"/>
    <mergeCell ref="C764:F764"/>
    <mergeCell ref="A759:B759"/>
    <mergeCell ref="C759:F759"/>
    <mergeCell ref="A760:B760"/>
    <mergeCell ref="C760:F760"/>
    <mergeCell ref="A761:B761"/>
    <mergeCell ref="C761:F761"/>
    <mergeCell ref="A756:B756"/>
    <mergeCell ref="C756:F756"/>
    <mergeCell ref="A757:B757"/>
    <mergeCell ref="C757:F757"/>
    <mergeCell ref="A758:B758"/>
    <mergeCell ref="C758:F758"/>
    <mergeCell ref="A753:B753"/>
    <mergeCell ref="C753:F753"/>
    <mergeCell ref="A754:B754"/>
    <mergeCell ref="C754:F754"/>
    <mergeCell ref="A755:B755"/>
    <mergeCell ref="C755:F755"/>
    <mergeCell ref="A750:B750"/>
    <mergeCell ref="C750:F750"/>
    <mergeCell ref="A751:B751"/>
    <mergeCell ref="C751:F751"/>
    <mergeCell ref="A752:B752"/>
    <mergeCell ref="C752:F752"/>
    <mergeCell ref="A747:B747"/>
    <mergeCell ref="C747:F747"/>
    <mergeCell ref="A748:B748"/>
    <mergeCell ref="C748:F748"/>
    <mergeCell ref="A749:B749"/>
    <mergeCell ref="C749:F749"/>
    <mergeCell ref="A744:B744"/>
    <mergeCell ref="C744:F744"/>
    <mergeCell ref="A745:B745"/>
    <mergeCell ref="C745:F745"/>
    <mergeCell ref="A746:B746"/>
    <mergeCell ref="C746:F746"/>
    <mergeCell ref="A739:B739"/>
    <mergeCell ref="C739:F739"/>
    <mergeCell ref="A740:B740"/>
    <mergeCell ref="C740:F740"/>
    <mergeCell ref="A741:B743"/>
    <mergeCell ref="C741:F741"/>
    <mergeCell ref="C742:F742"/>
    <mergeCell ref="C743:F743"/>
    <mergeCell ref="A736:B736"/>
    <mergeCell ref="C736:F736"/>
    <mergeCell ref="A737:B737"/>
    <mergeCell ref="C737:F737"/>
    <mergeCell ref="A738:B738"/>
    <mergeCell ref="C738:F738"/>
    <mergeCell ref="A731:B731"/>
    <mergeCell ref="C731:F731"/>
    <mergeCell ref="A732:B733"/>
    <mergeCell ref="C732:F732"/>
    <mergeCell ref="C733:F733"/>
    <mergeCell ref="A734:B735"/>
    <mergeCell ref="C734:F734"/>
    <mergeCell ref="C735:F735"/>
    <mergeCell ref="A727:B727"/>
    <mergeCell ref="C727:F727"/>
    <mergeCell ref="A728:B728"/>
    <mergeCell ref="C728:F728"/>
    <mergeCell ref="A729:B730"/>
    <mergeCell ref="C729:F729"/>
    <mergeCell ref="C730:F730"/>
    <mergeCell ref="A724:B724"/>
    <mergeCell ref="C724:F724"/>
    <mergeCell ref="A725:B725"/>
    <mergeCell ref="C725:F725"/>
    <mergeCell ref="A726:B726"/>
    <mergeCell ref="C726:F726"/>
    <mergeCell ref="A721:B721"/>
    <mergeCell ref="C721:F721"/>
    <mergeCell ref="A722:B722"/>
    <mergeCell ref="C722:F722"/>
    <mergeCell ref="A723:B723"/>
    <mergeCell ref="C723:F723"/>
    <mergeCell ref="A718:B718"/>
    <mergeCell ref="C718:F718"/>
    <mergeCell ref="A719:B719"/>
    <mergeCell ref="C719:F719"/>
    <mergeCell ref="A720:B720"/>
    <mergeCell ref="C720:F720"/>
    <mergeCell ref="A715:B715"/>
    <mergeCell ref="C715:F715"/>
    <mergeCell ref="A716:B716"/>
    <mergeCell ref="C716:F716"/>
    <mergeCell ref="A717:B717"/>
    <mergeCell ref="C717:F717"/>
    <mergeCell ref="A712:B712"/>
    <mergeCell ref="C712:F712"/>
    <mergeCell ref="A713:B713"/>
    <mergeCell ref="C713:F713"/>
    <mergeCell ref="A714:B714"/>
    <mergeCell ref="C714:F714"/>
    <mergeCell ref="A709:B709"/>
    <mergeCell ref="C709:F709"/>
    <mergeCell ref="A710:B710"/>
    <mergeCell ref="C710:F710"/>
    <mergeCell ref="A711:B711"/>
    <mergeCell ref="C711:F711"/>
    <mergeCell ref="A706:B706"/>
    <mergeCell ref="C706:F706"/>
    <mergeCell ref="A707:B707"/>
    <mergeCell ref="C707:F707"/>
    <mergeCell ref="A708:B708"/>
    <mergeCell ref="C708:F708"/>
    <mergeCell ref="A703:B703"/>
    <mergeCell ref="C703:F703"/>
    <mergeCell ref="A704:B704"/>
    <mergeCell ref="C704:F704"/>
    <mergeCell ref="A705:B705"/>
    <mergeCell ref="C705:F705"/>
    <mergeCell ref="A700:B700"/>
    <mergeCell ref="C700:F700"/>
    <mergeCell ref="A701:B701"/>
    <mergeCell ref="C701:F701"/>
    <mergeCell ref="A702:B702"/>
    <mergeCell ref="C702:F702"/>
    <mergeCell ref="A697:B697"/>
    <mergeCell ref="C697:F697"/>
    <mergeCell ref="A698:B698"/>
    <mergeCell ref="C698:F698"/>
    <mergeCell ref="A699:B699"/>
    <mergeCell ref="C699:F699"/>
    <mergeCell ref="A694:B694"/>
    <mergeCell ref="C694:F694"/>
    <mergeCell ref="A695:B695"/>
    <mergeCell ref="C695:F695"/>
    <mergeCell ref="A696:B696"/>
    <mergeCell ref="C696:F696"/>
    <mergeCell ref="A691:B691"/>
    <mergeCell ref="C691:F691"/>
    <mergeCell ref="A692:B692"/>
    <mergeCell ref="C692:F692"/>
    <mergeCell ref="A693:B693"/>
    <mergeCell ref="C693:F693"/>
    <mergeCell ref="A688:B688"/>
    <mergeCell ref="C688:F688"/>
    <mergeCell ref="A689:B689"/>
    <mergeCell ref="C689:F689"/>
    <mergeCell ref="A690:B690"/>
    <mergeCell ref="C690:F690"/>
    <mergeCell ref="A684:B684"/>
    <mergeCell ref="C684:F684"/>
    <mergeCell ref="A685:B685"/>
    <mergeCell ref="C685:F685"/>
    <mergeCell ref="A686:B687"/>
    <mergeCell ref="C686:F686"/>
    <mergeCell ref="C687:F687"/>
    <mergeCell ref="A681:B681"/>
    <mergeCell ref="C681:F681"/>
    <mergeCell ref="A682:B682"/>
    <mergeCell ref="C682:F682"/>
    <mergeCell ref="A683:B683"/>
    <mergeCell ref="C683:F683"/>
    <mergeCell ref="A678:B678"/>
    <mergeCell ref="C678:F678"/>
    <mergeCell ref="A679:B679"/>
    <mergeCell ref="C679:F679"/>
    <mergeCell ref="A680:B680"/>
    <mergeCell ref="C680:F680"/>
    <mergeCell ref="A675:B675"/>
    <mergeCell ref="C675:F675"/>
    <mergeCell ref="A676:B676"/>
    <mergeCell ref="C676:F676"/>
    <mergeCell ref="A677:B677"/>
    <mergeCell ref="C677:F677"/>
    <mergeCell ref="A672:B672"/>
    <mergeCell ref="C672:F672"/>
    <mergeCell ref="A673:B673"/>
    <mergeCell ref="C673:F673"/>
    <mergeCell ref="A674:B674"/>
    <mergeCell ref="C674:F674"/>
    <mergeCell ref="A669:B669"/>
    <mergeCell ref="C669:F669"/>
    <mergeCell ref="A670:B670"/>
    <mergeCell ref="C670:F670"/>
    <mergeCell ref="A671:B671"/>
    <mergeCell ref="C671:F671"/>
    <mergeCell ref="A666:B666"/>
    <mergeCell ref="C666:F666"/>
    <mergeCell ref="A667:B667"/>
    <mergeCell ref="C667:F667"/>
    <mergeCell ref="A668:B668"/>
    <mergeCell ref="C668:F668"/>
    <mergeCell ref="A662:B662"/>
    <mergeCell ref="C662:F662"/>
    <mergeCell ref="A663:B665"/>
    <mergeCell ref="C663:F663"/>
    <mergeCell ref="C664:F664"/>
    <mergeCell ref="C665:F665"/>
    <mergeCell ref="A659:B659"/>
    <mergeCell ref="C659:F659"/>
    <mergeCell ref="A660:B660"/>
    <mergeCell ref="C660:F660"/>
    <mergeCell ref="A661:B661"/>
    <mergeCell ref="C661:F661"/>
    <mergeCell ref="A656:B656"/>
    <mergeCell ref="C656:F656"/>
    <mergeCell ref="A657:B657"/>
    <mergeCell ref="C657:F657"/>
    <mergeCell ref="A658:B658"/>
    <mergeCell ref="C658:F658"/>
    <mergeCell ref="A653:B653"/>
    <mergeCell ref="C653:F653"/>
    <mergeCell ref="A654:B654"/>
    <mergeCell ref="C654:F654"/>
    <mergeCell ref="A655:B655"/>
    <mergeCell ref="C655:F655"/>
    <mergeCell ref="A650:B650"/>
    <mergeCell ref="C650:F650"/>
    <mergeCell ref="A651:B651"/>
    <mergeCell ref="C651:F651"/>
    <mergeCell ref="A652:B652"/>
    <mergeCell ref="C652:F652"/>
    <mergeCell ref="A647:B647"/>
    <mergeCell ref="C647:F647"/>
    <mergeCell ref="A648:B648"/>
    <mergeCell ref="C648:F648"/>
    <mergeCell ref="A649:B649"/>
    <mergeCell ref="C649:F649"/>
    <mergeCell ref="A644:B644"/>
    <mergeCell ref="C644:F644"/>
    <mergeCell ref="A645:B645"/>
    <mergeCell ref="C645:F645"/>
    <mergeCell ref="A646:B646"/>
    <mergeCell ref="C646:F646"/>
    <mergeCell ref="A641:B641"/>
    <mergeCell ref="C641:F641"/>
    <mergeCell ref="A642:B642"/>
    <mergeCell ref="C642:F642"/>
    <mergeCell ref="A643:B643"/>
    <mergeCell ref="C643:F643"/>
    <mergeCell ref="A638:B638"/>
    <mergeCell ref="C638:F638"/>
    <mergeCell ref="A639:B639"/>
    <mergeCell ref="C639:F639"/>
    <mergeCell ref="A640:B640"/>
    <mergeCell ref="C640:F640"/>
    <mergeCell ref="A635:B635"/>
    <mergeCell ref="C635:F635"/>
    <mergeCell ref="A636:B636"/>
    <mergeCell ref="C636:F636"/>
    <mergeCell ref="A637:B637"/>
    <mergeCell ref="C637:F637"/>
    <mergeCell ref="A632:B632"/>
    <mergeCell ref="C632:F632"/>
    <mergeCell ref="A633:B633"/>
    <mergeCell ref="C633:F633"/>
    <mergeCell ref="A634:B634"/>
    <mergeCell ref="C634:F634"/>
    <mergeCell ref="A629:B629"/>
    <mergeCell ref="C629:F629"/>
    <mergeCell ref="A630:B630"/>
    <mergeCell ref="C630:F630"/>
    <mergeCell ref="A631:B631"/>
    <mergeCell ref="C631:F631"/>
    <mergeCell ref="A626:B626"/>
    <mergeCell ref="C626:F626"/>
    <mergeCell ref="A627:B627"/>
    <mergeCell ref="C627:F627"/>
    <mergeCell ref="A628:B628"/>
    <mergeCell ref="C628:F628"/>
    <mergeCell ref="A623:B623"/>
    <mergeCell ref="C623:F623"/>
    <mergeCell ref="A624:B624"/>
    <mergeCell ref="C624:F624"/>
    <mergeCell ref="A625:B625"/>
    <mergeCell ref="C625:F625"/>
    <mergeCell ref="A620:B620"/>
    <mergeCell ref="C620:F620"/>
    <mergeCell ref="A621:B621"/>
    <mergeCell ref="C621:F621"/>
    <mergeCell ref="A622:B622"/>
    <mergeCell ref="C622:F622"/>
    <mergeCell ref="A617:B617"/>
    <mergeCell ref="C617:F617"/>
    <mergeCell ref="A618:B618"/>
    <mergeCell ref="C618:F618"/>
    <mergeCell ref="A619:B619"/>
    <mergeCell ref="C619:F619"/>
    <mergeCell ref="A614:B614"/>
    <mergeCell ref="C614:F614"/>
    <mergeCell ref="A615:B615"/>
    <mergeCell ref="C615:F615"/>
    <mergeCell ref="A616:B616"/>
    <mergeCell ref="C616:F616"/>
    <mergeCell ref="A611:B611"/>
    <mergeCell ref="C611:F611"/>
    <mergeCell ref="A612:B612"/>
    <mergeCell ref="C612:F612"/>
    <mergeCell ref="A613:B613"/>
    <mergeCell ref="C613:F613"/>
    <mergeCell ref="A608:B608"/>
    <mergeCell ref="C608:F608"/>
    <mergeCell ref="A609:B609"/>
    <mergeCell ref="C609:F609"/>
    <mergeCell ref="A610:B610"/>
    <mergeCell ref="C610:F610"/>
    <mergeCell ref="A605:B605"/>
    <mergeCell ref="C605:F605"/>
    <mergeCell ref="A606:B606"/>
    <mergeCell ref="C606:F606"/>
    <mergeCell ref="A607:B607"/>
    <mergeCell ref="C607:F607"/>
    <mergeCell ref="A602:B602"/>
    <mergeCell ref="C602:F602"/>
    <mergeCell ref="A603:B603"/>
    <mergeCell ref="C603:F603"/>
    <mergeCell ref="A604:B604"/>
    <mergeCell ref="C604:F604"/>
    <mergeCell ref="A599:B599"/>
    <mergeCell ref="C599:F599"/>
    <mergeCell ref="A600:B600"/>
    <mergeCell ref="C600:F600"/>
    <mergeCell ref="A601:B601"/>
    <mergeCell ref="C601:F601"/>
    <mergeCell ref="A596:B596"/>
    <mergeCell ref="C596:F596"/>
    <mergeCell ref="A597:B597"/>
    <mergeCell ref="C597:F597"/>
    <mergeCell ref="A598:B598"/>
    <mergeCell ref="C598:F598"/>
    <mergeCell ref="A593:B593"/>
    <mergeCell ref="C593:F593"/>
    <mergeCell ref="A594:B594"/>
    <mergeCell ref="C594:F594"/>
    <mergeCell ref="A595:B595"/>
    <mergeCell ref="C595:F595"/>
    <mergeCell ref="A590:B590"/>
    <mergeCell ref="C590:F590"/>
    <mergeCell ref="A591:B591"/>
    <mergeCell ref="C591:F591"/>
    <mergeCell ref="A592:B592"/>
    <mergeCell ref="C592:F592"/>
    <mergeCell ref="A587:B587"/>
    <mergeCell ref="C587:F587"/>
    <mergeCell ref="A588:B588"/>
    <mergeCell ref="C588:F588"/>
    <mergeCell ref="A589:B589"/>
    <mergeCell ref="C589:F589"/>
    <mergeCell ref="A584:B584"/>
    <mergeCell ref="C584:F584"/>
    <mergeCell ref="A585:B585"/>
    <mergeCell ref="C585:F585"/>
    <mergeCell ref="A586:B586"/>
    <mergeCell ref="C586:F586"/>
    <mergeCell ref="A581:B581"/>
    <mergeCell ref="C581:F581"/>
    <mergeCell ref="A582:B582"/>
    <mergeCell ref="C582:F582"/>
    <mergeCell ref="A583:B583"/>
    <mergeCell ref="C583:F583"/>
    <mergeCell ref="A578:B578"/>
    <mergeCell ref="C578:F578"/>
    <mergeCell ref="A579:B579"/>
    <mergeCell ref="C579:F579"/>
    <mergeCell ref="A580:B580"/>
    <mergeCell ref="C580:F580"/>
    <mergeCell ref="A574:B574"/>
    <mergeCell ref="C574:F574"/>
    <mergeCell ref="A575:B576"/>
    <mergeCell ref="C575:F575"/>
    <mergeCell ref="C576:F576"/>
    <mergeCell ref="A577:B577"/>
    <mergeCell ref="C577:F577"/>
    <mergeCell ref="A570:B570"/>
    <mergeCell ref="C570:F570"/>
    <mergeCell ref="A571:B572"/>
    <mergeCell ref="C571:F571"/>
    <mergeCell ref="C572:F572"/>
    <mergeCell ref="A573:B573"/>
    <mergeCell ref="C573:F573"/>
    <mergeCell ref="A567:B567"/>
    <mergeCell ref="C567:F567"/>
    <mergeCell ref="A568:B568"/>
    <mergeCell ref="C568:F568"/>
    <mergeCell ref="A569:B569"/>
    <mergeCell ref="C569:F569"/>
    <mergeCell ref="A564:B564"/>
    <mergeCell ref="C564:F564"/>
    <mergeCell ref="A565:B565"/>
    <mergeCell ref="C565:F565"/>
    <mergeCell ref="A566:B566"/>
    <mergeCell ref="C566:F566"/>
    <mergeCell ref="A561:B561"/>
    <mergeCell ref="C561:F561"/>
    <mergeCell ref="A562:B562"/>
    <mergeCell ref="C562:F562"/>
    <mergeCell ref="A563:B563"/>
    <mergeCell ref="C563:F563"/>
    <mergeCell ref="A558:B558"/>
    <mergeCell ref="C558:F558"/>
    <mergeCell ref="A559:B559"/>
    <mergeCell ref="C559:F559"/>
    <mergeCell ref="A560:B560"/>
    <mergeCell ref="C560:F560"/>
    <mergeCell ref="A555:B555"/>
    <mergeCell ref="C555:F555"/>
    <mergeCell ref="A556:B556"/>
    <mergeCell ref="C556:F556"/>
    <mergeCell ref="A557:B557"/>
    <mergeCell ref="C557:F557"/>
    <mergeCell ref="A552:B552"/>
    <mergeCell ref="C552:F552"/>
    <mergeCell ref="A553:B553"/>
    <mergeCell ref="C553:F553"/>
    <mergeCell ref="A554:B554"/>
    <mergeCell ref="C554:F554"/>
    <mergeCell ref="A549:B549"/>
    <mergeCell ref="C549:F549"/>
    <mergeCell ref="A550:B550"/>
    <mergeCell ref="C550:F550"/>
    <mergeCell ref="A551:B551"/>
    <mergeCell ref="C551:F551"/>
    <mergeCell ref="A546:B546"/>
    <mergeCell ref="C546:F546"/>
    <mergeCell ref="A547:B547"/>
    <mergeCell ref="C547:F547"/>
    <mergeCell ref="A548:B548"/>
    <mergeCell ref="C548:F548"/>
    <mergeCell ref="A541:B544"/>
    <mergeCell ref="C541:F541"/>
    <mergeCell ref="C542:F542"/>
    <mergeCell ref="C543:F543"/>
    <mergeCell ref="C544:F544"/>
    <mergeCell ref="A545:B545"/>
    <mergeCell ref="C545:F545"/>
    <mergeCell ref="A538:B538"/>
    <mergeCell ref="C538:F538"/>
    <mergeCell ref="A539:B539"/>
    <mergeCell ref="C539:F539"/>
    <mergeCell ref="A540:B540"/>
    <mergeCell ref="C540:F540"/>
    <mergeCell ref="A535:B535"/>
    <mergeCell ref="C535:F535"/>
    <mergeCell ref="A536:B536"/>
    <mergeCell ref="C536:F536"/>
    <mergeCell ref="A537:B537"/>
    <mergeCell ref="C537:F537"/>
    <mergeCell ref="A532:B532"/>
    <mergeCell ref="C532:F532"/>
    <mergeCell ref="A533:B533"/>
    <mergeCell ref="C533:F533"/>
    <mergeCell ref="A534:B534"/>
    <mergeCell ref="C534:F534"/>
    <mergeCell ref="A529:B529"/>
    <mergeCell ref="C529:F529"/>
    <mergeCell ref="A530:B530"/>
    <mergeCell ref="C530:F530"/>
    <mergeCell ref="A531:B531"/>
    <mergeCell ref="C531:F531"/>
    <mergeCell ref="A526:B526"/>
    <mergeCell ref="C526:F526"/>
    <mergeCell ref="A527:B527"/>
    <mergeCell ref="C527:F527"/>
    <mergeCell ref="A528:B528"/>
    <mergeCell ref="C528:F528"/>
    <mergeCell ref="A523:B523"/>
    <mergeCell ref="C523:F523"/>
    <mergeCell ref="A524:B524"/>
    <mergeCell ref="C524:F524"/>
    <mergeCell ref="A525:B525"/>
    <mergeCell ref="C525:F525"/>
    <mergeCell ref="A520:B520"/>
    <mergeCell ref="C520:F520"/>
    <mergeCell ref="A521:B521"/>
    <mergeCell ref="C521:F521"/>
    <mergeCell ref="A522:B522"/>
    <mergeCell ref="C522:F522"/>
    <mergeCell ref="A517:B517"/>
    <mergeCell ref="C517:F517"/>
    <mergeCell ref="A518:B518"/>
    <mergeCell ref="C518:F518"/>
    <mergeCell ref="A519:B519"/>
    <mergeCell ref="C519:F519"/>
    <mergeCell ref="A514:B514"/>
    <mergeCell ref="C514:F514"/>
    <mergeCell ref="A515:B515"/>
    <mergeCell ref="C515:F515"/>
    <mergeCell ref="A516:B516"/>
    <mergeCell ref="C516:F516"/>
    <mergeCell ref="A511:B511"/>
    <mergeCell ref="C511:F511"/>
    <mergeCell ref="A512:B512"/>
    <mergeCell ref="C512:F512"/>
    <mergeCell ref="A513:B513"/>
    <mergeCell ref="C513:F513"/>
    <mergeCell ref="A507:B508"/>
    <mergeCell ref="C507:F507"/>
    <mergeCell ref="C508:F508"/>
    <mergeCell ref="A509:B509"/>
    <mergeCell ref="C509:F509"/>
    <mergeCell ref="A510:B510"/>
    <mergeCell ref="C510:F510"/>
    <mergeCell ref="A504:B504"/>
    <mergeCell ref="C504:F504"/>
    <mergeCell ref="A505:B505"/>
    <mergeCell ref="C505:F505"/>
    <mergeCell ref="A506:B506"/>
    <mergeCell ref="C506:F506"/>
    <mergeCell ref="A501:B501"/>
    <mergeCell ref="C501:F501"/>
    <mergeCell ref="A502:B502"/>
    <mergeCell ref="C502:F502"/>
    <mergeCell ref="A503:B503"/>
    <mergeCell ref="C503:F503"/>
    <mergeCell ref="A495:B495"/>
    <mergeCell ref="C495:D495"/>
    <mergeCell ref="A499:B499"/>
    <mergeCell ref="C499:F499"/>
    <mergeCell ref="A500:B500"/>
    <mergeCell ref="C500:F500"/>
    <mergeCell ref="A490:B490"/>
    <mergeCell ref="C490:D490"/>
    <mergeCell ref="A491:I492"/>
    <mergeCell ref="A493:B493"/>
    <mergeCell ref="C493:D493"/>
    <mergeCell ref="A494:B494"/>
    <mergeCell ref="C494:D494"/>
    <mergeCell ref="A487:B487"/>
    <mergeCell ref="C487:D487"/>
    <mergeCell ref="A488:B488"/>
    <mergeCell ref="C488:D488"/>
    <mergeCell ref="A489:B489"/>
    <mergeCell ref="C489:D489"/>
    <mergeCell ref="A484:B484"/>
    <mergeCell ref="C484:D484"/>
    <mergeCell ref="A485:B485"/>
    <mergeCell ref="C485:D485"/>
    <mergeCell ref="A486:B486"/>
    <mergeCell ref="C486:D486"/>
    <mergeCell ref="A479:B479"/>
    <mergeCell ref="C479:D479"/>
    <mergeCell ref="A480:B480"/>
    <mergeCell ref="C480:D480"/>
    <mergeCell ref="A481:I482"/>
    <mergeCell ref="A483:B483"/>
    <mergeCell ref="C483:D483"/>
    <mergeCell ref="A476:B476"/>
    <mergeCell ref="C476:D476"/>
    <mergeCell ref="A477:B477"/>
    <mergeCell ref="C477:D477"/>
    <mergeCell ref="A478:B478"/>
    <mergeCell ref="C478:D478"/>
    <mergeCell ref="A473:B473"/>
    <mergeCell ref="C473:D473"/>
    <mergeCell ref="A474:B474"/>
    <mergeCell ref="C474:D474"/>
    <mergeCell ref="A475:B475"/>
    <mergeCell ref="C475:D475"/>
    <mergeCell ref="A470:B470"/>
    <mergeCell ref="C470:D470"/>
    <mergeCell ref="A471:B471"/>
    <mergeCell ref="C471:D471"/>
    <mergeCell ref="A472:B472"/>
    <mergeCell ref="C472:D472"/>
    <mergeCell ref="A465:B465"/>
    <mergeCell ref="C465:D465"/>
    <mergeCell ref="A466:B466"/>
    <mergeCell ref="C466:D466"/>
    <mergeCell ref="A467:I468"/>
    <mergeCell ref="A469:B469"/>
    <mergeCell ref="C469:D469"/>
    <mergeCell ref="A462:B462"/>
    <mergeCell ref="C462:D462"/>
    <mergeCell ref="A463:B463"/>
    <mergeCell ref="C463:D463"/>
    <mergeCell ref="A464:B464"/>
    <mergeCell ref="C464:D464"/>
    <mergeCell ref="I455:I456"/>
    <mergeCell ref="A458:I459"/>
    <mergeCell ref="A460:B460"/>
    <mergeCell ref="C460:D460"/>
    <mergeCell ref="A461:B461"/>
    <mergeCell ref="C461:D461"/>
    <mergeCell ref="A444:B444"/>
    <mergeCell ref="A445:B445"/>
    <mergeCell ref="A446:B446"/>
    <mergeCell ref="A447:B447"/>
    <mergeCell ref="A455:D457"/>
    <mergeCell ref="G455:G456"/>
    <mergeCell ref="A438:B438"/>
    <mergeCell ref="A439:B439"/>
    <mergeCell ref="A440:B440"/>
    <mergeCell ref="A441:B441"/>
    <mergeCell ref="A442:B442"/>
    <mergeCell ref="A443:B443"/>
    <mergeCell ref="A429:B429"/>
    <mergeCell ref="A430:B430"/>
    <mergeCell ref="A431:B431"/>
    <mergeCell ref="A432:B432"/>
    <mergeCell ref="A433:B433"/>
    <mergeCell ref="A437:C437"/>
    <mergeCell ref="A423:B423"/>
    <mergeCell ref="A424:B424"/>
    <mergeCell ref="A425:B425"/>
    <mergeCell ref="A426:B426"/>
    <mergeCell ref="A427:B427"/>
    <mergeCell ref="A428:B428"/>
    <mergeCell ref="A417:B417"/>
    <mergeCell ref="A418:B418"/>
    <mergeCell ref="A419:B419"/>
    <mergeCell ref="A420:B420"/>
    <mergeCell ref="A421:B421"/>
    <mergeCell ref="A422:B422"/>
    <mergeCell ref="A411:B411"/>
    <mergeCell ref="A412:B412"/>
    <mergeCell ref="A413:B413"/>
    <mergeCell ref="A414:B414"/>
    <mergeCell ref="A415:B415"/>
    <mergeCell ref="A416:B416"/>
    <mergeCell ref="A405:B405"/>
    <mergeCell ref="A406:B406"/>
    <mergeCell ref="A407:B407"/>
    <mergeCell ref="A408:B408"/>
    <mergeCell ref="A409:B409"/>
    <mergeCell ref="A410:B410"/>
    <mergeCell ref="A396:B396"/>
    <mergeCell ref="A397:B397"/>
    <mergeCell ref="A401:C401"/>
    <mergeCell ref="A402:B402"/>
    <mergeCell ref="A403:B403"/>
    <mergeCell ref="A404:B404"/>
    <mergeCell ref="A390:B390"/>
    <mergeCell ref="A391:B391"/>
    <mergeCell ref="A392:B392"/>
    <mergeCell ref="A393:B393"/>
    <mergeCell ref="A394:B394"/>
    <mergeCell ref="A395:B395"/>
    <mergeCell ref="A384:B384"/>
    <mergeCell ref="A385:B385"/>
    <mergeCell ref="A386:B386"/>
    <mergeCell ref="A387:B387"/>
    <mergeCell ref="A388:B388"/>
    <mergeCell ref="A389:B389"/>
    <mergeCell ref="A378:B378"/>
    <mergeCell ref="A379:B379"/>
    <mergeCell ref="A380:B380"/>
    <mergeCell ref="A381:B381"/>
    <mergeCell ref="A382:E382"/>
    <mergeCell ref="A383:C383"/>
    <mergeCell ref="A372:C372"/>
    <mergeCell ref="A373:B373"/>
    <mergeCell ref="A374:B374"/>
    <mergeCell ref="A375:B375"/>
    <mergeCell ref="A376:B376"/>
    <mergeCell ref="A377:B377"/>
    <mergeCell ref="A366:B366"/>
    <mergeCell ref="A367:B367"/>
    <mergeCell ref="A368:B368"/>
    <mergeCell ref="A369:B369"/>
    <mergeCell ref="A370:B370"/>
    <mergeCell ref="A371:E371"/>
    <mergeCell ref="A360:C360"/>
    <mergeCell ref="A361:B361"/>
    <mergeCell ref="A362:B362"/>
    <mergeCell ref="A363:B363"/>
    <mergeCell ref="A364:B364"/>
    <mergeCell ref="A365:B365"/>
    <mergeCell ref="A232:B234"/>
    <mergeCell ref="C232:D232"/>
    <mergeCell ref="E232:F232"/>
    <mergeCell ref="G232:G233"/>
    <mergeCell ref="I232:I233"/>
    <mergeCell ref="C233:D233"/>
    <mergeCell ref="E233:F233"/>
    <mergeCell ref="A118:B120"/>
    <mergeCell ref="C118:D118"/>
    <mergeCell ref="E118:F118"/>
    <mergeCell ref="G118:G119"/>
    <mergeCell ref="I118:I119"/>
    <mergeCell ref="C119:D119"/>
    <mergeCell ref="E119:F119"/>
    <mergeCell ref="A57:B59"/>
    <mergeCell ref="C57:D57"/>
    <mergeCell ref="E57:F57"/>
    <mergeCell ref="G57:G58"/>
    <mergeCell ref="I57:I58"/>
    <mergeCell ref="C58:D58"/>
    <mergeCell ref="E58:F58"/>
    <mergeCell ref="G19:G20"/>
    <mergeCell ref="C20:D20"/>
    <mergeCell ref="E20:F20"/>
    <mergeCell ref="A51:D51"/>
    <mergeCell ref="B52:D52"/>
    <mergeCell ref="A53:D53"/>
    <mergeCell ref="A12:B12"/>
    <mergeCell ref="A13:F13"/>
    <mergeCell ref="B14:F14"/>
    <mergeCell ref="A19:B21"/>
    <mergeCell ref="C19:D19"/>
    <mergeCell ref="E19:F19"/>
    <mergeCell ref="A2:F2"/>
    <mergeCell ref="A5:B5"/>
    <mergeCell ref="D8:F8"/>
    <mergeCell ref="A9:B9"/>
    <mergeCell ref="A10:B10"/>
    <mergeCell ref="A11:B11"/>
  </mergeCells>
  <pageMargins left="0.78740157499999996" right="0.78740157499999996" top="0.984251969" bottom="0.984251969" header="0.4921259845" footer="0.492125984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22D01-BCF0-1142-865A-4E278334E7DD}">
  <sheetPr>
    <tabColor theme="5"/>
  </sheetPr>
  <dimension ref="A1:G207"/>
  <sheetViews>
    <sheetView showGridLines="0" workbookViewId="0">
      <selection activeCell="F25" sqref="F25"/>
    </sheetView>
  </sheetViews>
  <sheetFormatPr baseColWidth="10" defaultRowHeight="15" x14ac:dyDescent="0.2"/>
  <cols>
    <col min="1" max="1" width="69.83203125" style="58" customWidth="1"/>
    <col min="2" max="5" width="10.83203125" style="58"/>
    <col min="6" max="6" width="37.5" style="58" customWidth="1"/>
    <col min="7" max="7" width="209.6640625" style="58" bestFit="1" customWidth="1"/>
    <col min="8" max="16384" width="10.83203125" style="58"/>
  </cols>
  <sheetData>
    <row r="1" spans="1:7" ht="19" x14ac:dyDescent="0.25">
      <c r="A1" s="170" t="s">
        <v>1298</v>
      </c>
    </row>
    <row r="2" spans="1:7" x14ac:dyDescent="0.2">
      <c r="A2" s="58" t="s">
        <v>1299</v>
      </c>
    </row>
    <row r="4" spans="1:7" x14ac:dyDescent="0.2">
      <c r="A4" s="171" t="s">
        <v>1300</v>
      </c>
      <c r="B4" s="171" t="s">
        <v>1301</v>
      </c>
      <c r="C4" s="171" t="s">
        <v>1302</v>
      </c>
      <c r="D4" s="171" t="s">
        <v>1303</v>
      </c>
      <c r="E4" s="171" t="s">
        <v>1304</v>
      </c>
      <c r="F4" s="171" t="s">
        <v>1305</v>
      </c>
      <c r="G4" s="171" t="s">
        <v>1306</v>
      </c>
    </row>
    <row r="5" spans="1:7" x14ac:dyDescent="0.2">
      <c r="A5" s="172" t="s">
        <v>1307</v>
      </c>
    </row>
    <row r="6" spans="1:7" x14ac:dyDescent="0.2">
      <c r="A6" s="58" t="s">
        <v>1308</v>
      </c>
      <c r="B6" s="58">
        <v>11001</v>
      </c>
      <c r="C6" s="58">
        <v>60</v>
      </c>
      <c r="D6" s="58" t="s">
        <v>1309</v>
      </c>
      <c r="E6" s="58">
        <v>7</v>
      </c>
      <c r="F6" s="58" t="s">
        <v>28</v>
      </c>
    </row>
    <row r="7" spans="1:7" x14ac:dyDescent="0.2">
      <c r="A7" s="58" t="s">
        <v>1310</v>
      </c>
      <c r="B7" s="58">
        <v>11002</v>
      </c>
      <c r="C7" s="58">
        <v>61</v>
      </c>
      <c r="D7" s="58" t="s">
        <v>1309</v>
      </c>
      <c r="E7" s="58">
        <v>7</v>
      </c>
      <c r="F7" s="58" t="s">
        <v>28</v>
      </c>
    </row>
    <row r="8" spans="1:7" x14ac:dyDescent="0.2">
      <c r="A8" s="58" t="s">
        <v>393</v>
      </c>
      <c r="B8" s="58">
        <v>11003</v>
      </c>
      <c r="C8" s="58">
        <v>62</v>
      </c>
      <c r="D8" s="58" t="s">
        <v>1309</v>
      </c>
      <c r="E8" s="58">
        <v>7</v>
      </c>
      <c r="F8" s="58" t="s">
        <v>28</v>
      </c>
    </row>
    <row r="9" spans="1:7" x14ac:dyDescent="0.2">
      <c r="A9" s="58" t="s">
        <v>326</v>
      </c>
      <c r="B9" s="58">
        <v>11005</v>
      </c>
      <c r="C9" s="58">
        <v>63</v>
      </c>
      <c r="D9" s="58" t="s">
        <v>1309</v>
      </c>
      <c r="E9" s="58">
        <v>7</v>
      </c>
      <c r="F9" s="58" t="s">
        <v>28</v>
      </c>
    </row>
    <row r="10" spans="1:7" x14ac:dyDescent="0.2">
      <c r="A10" s="58" t="s">
        <v>327</v>
      </c>
      <c r="B10" s="58">
        <v>11019</v>
      </c>
      <c r="C10" s="58">
        <v>64</v>
      </c>
      <c r="D10" s="58" t="s">
        <v>1311</v>
      </c>
      <c r="E10" s="58" t="s">
        <v>1311</v>
      </c>
      <c r="F10" s="58" t="s">
        <v>1311</v>
      </c>
      <c r="G10" s="173" t="s">
        <v>1312</v>
      </c>
    </row>
    <row r="11" spans="1:7" x14ac:dyDescent="0.2">
      <c r="A11" s="58" t="s">
        <v>296</v>
      </c>
      <c r="B11" s="58">
        <v>11022</v>
      </c>
      <c r="C11" s="58">
        <v>65</v>
      </c>
      <c r="D11" s="58" t="s">
        <v>1309</v>
      </c>
      <c r="E11" s="58">
        <v>8</v>
      </c>
      <c r="F11" s="58" t="s">
        <v>58</v>
      </c>
    </row>
    <row r="12" spans="1:7" x14ac:dyDescent="0.2">
      <c r="A12" s="58" t="s">
        <v>328</v>
      </c>
      <c r="B12" s="58">
        <v>11025</v>
      </c>
      <c r="C12" s="58">
        <v>66</v>
      </c>
      <c r="D12" s="58" t="s">
        <v>1309</v>
      </c>
      <c r="E12" s="58">
        <v>8</v>
      </c>
      <c r="F12" s="58" t="s">
        <v>58</v>
      </c>
    </row>
    <row r="13" spans="1:7" x14ac:dyDescent="0.2">
      <c r="A13" s="58" t="s">
        <v>329</v>
      </c>
      <c r="B13" s="58">
        <v>11028</v>
      </c>
      <c r="C13" s="58">
        <v>67</v>
      </c>
      <c r="D13" s="58" t="s">
        <v>1309</v>
      </c>
      <c r="E13" s="58">
        <v>8</v>
      </c>
      <c r="F13" s="58" t="s">
        <v>58</v>
      </c>
    </row>
    <row r="14" spans="1:7" x14ac:dyDescent="0.2">
      <c r="A14" s="58" t="s">
        <v>330</v>
      </c>
      <c r="B14" s="58">
        <v>11032</v>
      </c>
      <c r="C14" s="58">
        <v>68</v>
      </c>
      <c r="D14" s="58" t="s">
        <v>1309</v>
      </c>
      <c r="E14" s="58">
        <v>8</v>
      </c>
      <c r="F14" s="58" t="s">
        <v>58</v>
      </c>
    </row>
    <row r="15" spans="1:7" x14ac:dyDescent="0.2">
      <c r="A15" s="58" t="s">
        <v>297</v>
      </c>
      <c r="B15" s="58">
        <v>11049</v>
      </c>
      <c r="C15" s="58">
        <v>69</v>
      </c>
      <c r="D15" s="58" t="s">
        <v>1311</v>
      </c>
      <c r="E15" s="58" t="s">
        <v>1311</v>
      </c>
      <c r="F15" s="58" t="s">
        <v>1311</v>
      </c>
      <c r="G15" s="173" t="s">
        <v>1313</v>
      </c>
    </row>
    <row r="16" spans="1:7" x14ac:dyDescent="0.2">
      <c r="A16" s="58" t="s">
        <v>1314</v>
      </c>
      <c r="B16" s="58">
        <v>11129</v>
      </c>
      <c r="C16" s="58">
        <v>70</v>
      </c>
      <c r="D16" s="58" t="s">
        <v>1311</v>
      </c>
      <c r="E16" s="58" t="s">
        <v>1311</v>
      </c>
      <c r="F16" s="58" t="s">
        <v>1311</v>
      </c>
      <c r="G16" s="173" t="s">
        <v>1313</v>
      </c>
    </row>
    <row r="17" spans="1:7" x14ac:dyDescent="0.2">
      <c r="A17" s="58" t="s">
        <v>332</v>
      </c>
      <c r="B17" s="58">
        <v>11131</v>
      </c>
      <c r="C17" s="58">
        <v>71</v>
      </c>
      <c r="D17" s="58" t="s">
        <v>1309</v>
      </c>
      <c r="E17" s="58">
        <v>9</v>
      </c>
      <c r="F17" s="58" t="s">
        <v>29</v>
      </c>
    </row>
    <row r="18" spans="1:7" x14ac:dyDescent="0.2">
      <c r="A18" s="58" t="s">
        <v>333</v>
      </c>
      <c r="B18" s="58">
        <v>11132</v>
      </c>
      <c r="C18" s="58">
        <v>72</v>
      </c>
      <c r="D18" s="58" t="s">
        <v>1309</v>
      </c>
      <c r="E18" s="58">
        <v>9</v>
      </c>
      <c r="F18" s="58" t="s">
        <v>29</v>
      </c>
    </row>
    <row r="19" spans="1:7" x14ac:dyDescent="0.2">
      <c r="A19" s="58" t="s">
        <v>334</v>
      </c>
      <c r="B19" s="58">
        <v>11133</v>
      </c>
      <c r="C19" s="58">
        <v>73</v>
      </c>
      <c r="D19" s="58" t="s">
        <v>1309</v>
      </c>
      <c r="E19" s="58">
        <v>9</v>
      </c>
      <c r="F19" s="58" t="s">
        <v>29</v>
      </c>
    </row>
    <row r="20" spans="1:7" x14ac:dyDescent="0.2">
      <c r="A20" s="58" t="s">
        <v>335</v>
      </c>
      <c r="B20" s="58">
        <v>11134</v>
      </c>
      <c r="C20" s="58">
        <v>74</v>
      </c>
      <c r="D20" s="58" t="s">
        <v>1309</v>
      </c>
      <c r="E20" s="58">
        <v>9</v>
      </c>
      <c r="F20" s="58" t="s">
        <v>29</v>
      </c>
    </row>
    <row r="21" spans="1:7" x14ac:dyDescent="0.2">
      <c r="A21" s="58" t="s">
        <v>336</v>
      </c>
      <c r="B21" s="58">
        <v>11135</v>
      </c>
      <c r="C21" s="58">
        <v>75</v>
      </c>
      <c r="D21" s="58" t="s">
        <v>1309</v>
      </c>
      <c r="E21" s="58">
        <v>9</v>
      </c>
      <c r="F21" s="58" t="s">
        <v>29</v>
      </c>
    </row>
    <row r="22" spans="1:7" x14ac:dyDescent="0.2">
      <c r="A22" s="58" t="s">
        <v>337</v>
      </c>
      <c r="B22" s="58">
        <v>11149</v>
      </c>
      <c r="C22" s="58">
        <v>76</v>
      </c>
      <c r="D22" s="58" t="s">
        <v>1311</v>
      </c>
      <c r="F22" s="58" t="s">
        <v>1311</v>
      </c>
      <c r="G22" s="173" t="s">
        <v>1313</v>
      </c>
    </row>
    <row r="23" spans="1:7" x14ac:dyDescent="0.2">
      <c r="A23" s="58" t="s">
        <v>338</v>
      </c>
      <c r="B23" s="58">
        <v>11151</v>
      </c>
      <c r="C23" s="58">
        <v>77</v>
      </c>
      <c r="D23" s="58" t="s">
        <v>1309</v>
      </c>
      <c r="E23" s="58">
        <v>9</v>
      </c>
      <c r="F23" s="58" t="s">
        <v>29</v>
      </c>
    </row>
    <row r="24" spans="1:7" x14ac:dyDescent="0.2">
      <c r="A24" s="58" t="s">
        <v>339</v>
      </c>
      <c r="B24" s="58">
        <v>11152</v>
      </c>
      <c r="C24" s="58">
        <v>78</v>
      </c>
      <c r="D24" s="58" t="s">
        <v>1309</v>
      </c>
      <c r="E24" s="58">
        <v>9</v>
      </c>
      <c r="F24" s="58" t="s">
        <v>29</v>
      </c>
    </row>
    <row r="25" spans="1:7" x14ac:dyDescent="0.2">
      <c r="A25" s="58" t="s">
        <v>1315</v>
      </c>
      <c r="B25" s="58">
        <v>11169</v>
      </c>
      <c r="C25" s="58">
        <v>79</v>
      </c>
      <c r="D25" s="58" t="s">
        <v>1311</v>
      </c>
      <c r="F25" s="58" t="s">
        <v>1311</v>
      </c>
      <c r="G25" s="173" t="s">
        <v>1313</v>
      </c>
    </row>
    <row r="26" spans="1:7" x14ac:dyDescent="0.2">
      <c r="A26" s="58" t="s">
        <v>298</v>
      </c>
      <c r="B26" s="58">
        <v>11179</v>
      </c>
      <c r="C26" s="58">
        <v>80</v>
      </c>
      <c r="D26" s="58" t="s">
        <v>1311</v>
      </c>
      <c r="F26" s="58" t="s">
        <v>1311</v>
      </c>
      <c r="G26" s="173" t="s">
        <v>1313</v>
      </c>
    </row>
    <row r="27" spans="1:7" x14ac:dyDescent="0.2">
      <c r="A27" s="58" t="s">
        <v>30</v>
      </c>
      <c r="B27" s="58">
        <v>11189</v>
      </c>
      <c r="C27" s="58">
        <v>81</v>
      </c>
      <c r="D27" s="58" t="s">
        <v>1311</v>
      </c>
      <c r="F27" s="58" t="s">
        <v>1311</v>
      </c>
      <c r="G27" s="173" t="s">
        <v>1316</v>
      </c>
    </row>
    <row r="28" spans="1:7" x14ac:dyDescent="0.2">
      <c r="A28" s="58" t="s">
        <v>341</v>
      </c>
      <c r="B28" s="58">
        <v>11221</v>
      </c>
      <c r="C28" s="58">
        <v>82</v>
      </c>
      <c r="D28" s="58" t="s">
        <v>1309</v>
      </c>
      <c r="E28" s="58">
        <v>12</v>
      </c>
      <c r="F28" s="58" t="s">
        <v>31</v>
      </c>
    </row>
    <row r="29" spans="1:7" x14ac:dyDescent="0.2">
      <c r="A29" s="58" t="s">
        <v>342</v>
      </c>
      <c r="B29" s="58">
        <v>11222</v>
      </c>
      <c r="C29" s="58">
        <v>83</v>
      </c>
      <c r="D29" s="58" t="s">
        <v>1309</v>
      </c>
      <c r="E29" s="58">
        <v>12</v>
      </c>
      <c r="F29" s="58" t="s">
        <v>31</v>
      </c>
    </row>
    <row r="30" spans="1:7" x14ac:dyDescent="0.2">
      <c r="A30" s="58" t="s">
        <v>300</v>
      </c>
      <c r="B30" s="58">
        <v>11228</v>
      </c>
      <c r="C30" s="58">
        <v>84</v>
      </c>
      <c r="D30" s="58" t="s">
        <v>1309</v>
      </c>
      <c r="E30" s="58">
        <v>12</v>
      </c>
      <c r="F30" s="58" t="s">
        <v>31</v>
      </c>
      <c r="G30" s="173" t="s">
        <v>1317</v>
      </c>
    </row>
    <row r="31" spans="1:7" x14ac:dyDescent="0.2">
      <c r="A31" s="58" t="s">
        <v>301</v>
      </c>
      <c r="B31" s="58">
        <v>11230</v>
      </c>
      <c r="C31" s="58">
        <v>85</v>
      </c>
      <c r="D31" s="58" t="s">
        <v>1311</v>
      </c>
      <c r="F31" s="58" t="s">
        <v>1311</v>
      </c>
      <c r="G31" s="173" t="s">
        <v>1318</v>
      </c>
    </row>
    <row r="32" spans="1:7" x14ac:dyDescent="0.2">
      <c r="A32" s="58" t="s">
        <v>343</v>
      </c>
      <c r="B32" s="58">
        <v>11224</v>
      </c>
      <c r="C32" s="58">
        <v>86</v>
      </c>
      <c r="D32" s="58" t="s">
        <v>1309</v>
      </c>
      <c r="E32" s="58">
        <v>12</v>
      </c>
      <c r="F32" s="58" t="s">
        <v>31</v>
      </c>
    </row>
    <row r="33" spans="1:7" x14ac:dyDescent="0.2">
      <c r="A33" s="58" t="s">
        <v>344</v>
      </c>
      <c r="B33" s="58">
        <v>11225</v>
      </c>
      <c r="C33" s="58">
        <v>87</v>
      </c>
      <c r="D33" s="58" t="s">
        <v>1309</v>
      </c>
      <c r="E33" s="58">
        <v>12</v>
      </c>
      <c r="F33" s="58" t="s">
        <v>31</v>
      </c>
    </row>
    <row r="34" spans="1:7" x14ac:dyDescent="0.2">
      <c r="A34" s="58" t="s">
        <v>345</v>
      </c>
      <c r="B34" s="58">
        <v>11226</v>
      </c>
      <c r="C34" s="58">
        <v>88</v>
      </c>
      <c r="D34" s="58" t="s">
        <v>1309</v>
      </c>
      <c r="E34" s="58">
        <v>12</v>
      </c>
      <c r="F34" s="58" t="s">
        <v>31</v>
      </c>
    </row>
    <row r="35" spans="1:7" x14ac:dyDescent="0.2">
      <c r="A35" s="58" t="s">
        <v>31</v>
      </c>
      <c r="B35" s="58">
        <v>11249</v>
      </c>
      <c r="C35" s="58">
        <v>89</v>
      </c>
      <c r="D35" s="58" t="s">
        <v>1311</v>
      </c>
      <c r="F35" s="58" t="s">
        <v>1311</v>
      </c>
      <c r="G35" s="173" t="s">
        <v>1316</v>
      </c>
    </row>
    <row r="36" spans="1:7" x14ac:dyDescent="0.2">
      <c r="A36" s="58" t="s">
        <v>302</v>
      </c>
      <c r="B36" s="58">
        <v>11291</v>
      </c>
      <c r="C36" s="58">
        <v>90</v>
      </c>
      <c r="D36" s="58" t="s">
        <v>1309</v>
      </c>
      <c r="E36" s="58">
        <v>13</v>
      </c>
      <c r="F36" s="58" t="s">
        <v>32</v>
      </c>
    </row>
    <row r="37" spans="1:7" x14ac:dyDescent="0.2">
      <c r="A37" s="58" t="s">
        <v>1319</v>
      </c>
      <c r="B37" s="58">
        <v>11294</v>
      </c>
      <c r="C37" s="58">
        <v>91</v>
      </c>
      <c r="D37" s="58" t="s">
        <v>1309</v>
      </c>
      <c r="E37" s="58">
        <v>14</v>
      </c>
      <c r="F37" s="58" t="s">
        <v>59</v>
      </c>
    </row>
    <row r="38" spans="1:7" x14ac:dyDescent="0.2">
      <c r="A38" s="58" t="s">
        <v>347</v>
      </c>
      <c r="B38" s="58">
        <v>11295</v>
      </c>
      <c r="C38" s="58">
        <v>92</v>
      </c>
      <c r="D38" s="58" t="s">
        <v>1309</v>
      </c>
      <c r="E38" s="58">
        <v>14</v>
      </c>
      <c r="F38" s="58" t="s">
        <v>59</v>
      </c>
    </row>
    <row r="39" spans="1:7" x14ac:dyDescent="0.2">
      <c r="A39" s="58" t="s">
        <v>348</v>
      </c>
      <c r="B39" s="58">
        <v>11296</v>
      </c>
      <c r="C39" s="58">
        <v>93</v>
      </c>
      <c r="D39" s="58" t="s">
        <v>1309</v>
      </c>
      <c r="E39" s="58">
        <v>14</v>
      </c>
      <c r="F39" s="58" t="s">
        <v>59</v>
      </c>
    </row>
    <row r="40" spans="1:7" x14ac:dyDescent="0.2">
      <c r="A40" s="58" t="s">
        <v>349</v>
      </c>
      <c r="B40" s="58">
        <v>11297</v>
      </c>
      <c r="C40" s="58">
        <v>94</v>
      </c>
      <c r="D40" s="58" t="s">
        <v>1309</v>
      </c>
      <c r="E40" s="58">
        <v>14</v>
      </c>
      <c r="F40" s="58" t="s">
        <v>59</v>
      </c>
    </row>
    <row r="41" spans="1:7" x14ac:dyDescent="0.2">
      <c r="A41" s="58" t="s">
        <v>350</v>
      </c>
      <c r="B41" s="58">
        <v>11298</v>
      </c>
      <c r="C41" s="58">
        <v>95</v>
      </c>
      <c r="D41" s="58" t="s">
        <v>1309</v>
      </c>
      <c r="E41" s="58">
        <v>14</v>
      </c>
      <c r="F41" s="58" t="s">
        <v>59</v>
      </c>
    </row>
    <row r="42" spans="1:7" x14ac:dyDescent="0.2">
      <c r="A42" s="58" t="s">
        <v>351</v>
      </c>
      <c r="B42" s="58">
        <v>11319</v>
      </c>
      <c r="C42" s="58">
        <v>96</v>
      </c>
      <c r="D42" s="58" t="s">
        <v>1311</v>
      </c>
      <c r="F42" s="58" t="s">
        <v>1311</v>
      </c>
      <c r="G42" s="173" t="s">
        <v>1313</v>
      </c>
    </row>
    <row r="43" spans="1:7" x14ac:dyDescent="0.2">
      <c r="A43" s="58" t="s">
        <v>352</v>
      </c>
      <c r="B43" s="58">
        <v>11328</v>
      </c>
      <c r="C43" s="58">
        <v>97</v>
      </c>
      <c r="D43" s="58" t="s">
        <v>1309</v>
      </c>
      <c r="E43" s="58">
        <v>14</v>
      </c>
      <c r="F43" s="58" t="s">
        <v>59</v>
      </c>
    </row>
    <row r="44" spans="1:7" x14ac:dyDescent="0.2">
      <c r="A44" s="58" t="s">
        <v>353</v>
      </c>
      <c r="B44" s="58">
        <v>11330</v>
      </c>
      <c r="C44" s="58">
        <v>98</v>
      </c>
      <c r="D44" s="58" t="s">
        <v>1309</v>
      </c>
      <c r="E44" s="58">
        <v>14</v>
      </c>
      <c r="F44" s="58" t="s">
        <v>59</v>
      </c>
    </row>
    <row r="45" spans="1:7" x14ac:dyDescent="0.2">
      <c r="A45" s="58" t="s">
        <v>354</v>
      </c>
      <c r="B45" s="58">
        <v>11331</v>
      </c>
      <c r="C45" s="58">
        <v>99</v>
      </c>
      <c r="D45" s="58" t="s">
        <v>1309</v>
      </c>
      <c r="E45" s="58">
        <v>14</v>
      </c>
      <c r="F45" s="58" t="s">
        <v>59</v>
      </c>
    </row>
    <row r="46" spans="1:7" x14ac:dyDescent="0.2">
      <c r="A46" s="58" t="s">
        <v>59</v>
      </c>
      <c r="B46" s="58">
        <v>11349</v>
      </c>
      <c r="C46" s="58">
        <v>100</v>
      </c>
      <c r="D46" s="58" t="s">
        <v>1311</v>
      </c>
      <c r="F46" s="58" t="s">
        <v>1311</v>
      </c>
      <c r="G46" s="173" t="s">
        <v>1313</v>
      </c>
    </row>
    <row r="47" spans="1:7" x14ac:dyDescent="0.2">
      <c r="A47" s="58" t="s">
        <v>356</v>
      </c>
      <c r="B47" s="58">
        <v>11351</v>
      </c>
      <c r="C47" s="58">
        <v>101</v>
      </c>
      <c r="D47" s="58" t="s">
        <v>1309</v>
      </c>
      <c r="E47" s="58">
        <v>16</v>
      </c>
      <c r="F47" s="58" t="s">
        <v>1320</v>
      </c>
    </row>
    <row r="48" spans="1:7" x14ac:dyDescent="0.2">
      <c r="A48" s="58" t="s">
        <v>357</v>
      </c>
      <c r="B48" s="58">
        <v>11352</v>
      </c>
      <c r="C48" s="58">
        <v>102</v>
      </c>
      <c r="D48" s="58" t="s">
        <v>1309</v>
      </c>
      <c r="E48" s="58">
        <v>16</v>
      </c>
      <c r="F48" s="58" t="s">
        <v>1320</v>
      </c>
    </row>
    <row r="49" spans="1:7" x14ac:dyDescent="0.2">
      <c r="A49" s="58" t="s">
        <v>303</v>
      </c>
      <c r="B49" s="58">
        <v>11369</v>
      </c>
      <c r="C49" s="58">
        <v>103</v>
      </c>
      <c r="D49" s="58" t="s">
        <v>1311</v>
      </c>
      <c r="F49" s="58" t="s">
        <v>1311</v>
      </c>
      <c r="G49" s="173" t="s">
        <v>1313</v>
      </c>
    </row>
    <row r="50" spans="1:7" x14ac:dyDescent="0.2">
      <c r="A50" s="58" t="s">
        <v>358</v>
      </c>
      <c r="B50" s="58">
        <v>11370</v>
      </c>
      <c r="C50" s="58">
        <v>104</v>
      </c>
      <c r="D50" s="58" t="s">
        <v>1311</v>
      </c>
      <c r="F50" s="58" t="s">
        <v>1311</v>
      </c>
      <c r="G50" s="173" t="s">
        <v>1321</v>
      </c>
    </row>
    <row r="51" spans="1:7" x14ac:dyDescent="0.2">
      <c r="A51" s="58" t="s">
        <v>304</v>
      </c>
      <c r="B51" s="58">
        <v>11379</v>
      </c>
      <c r="C51" s="58">
        <v>105</v>
      </c>
      <c r="D51" s="58" t="s">
        <v>1311</v>
      </c>
      <c r="F51" s="58" t="s">
        <v>1311</v>
      </c>
      <c r="G51" s="173" t="s">
        <v>1316</v>
      </c>
    </row>
    <row r="52" spans="1:7" x14ac:dyDescent="0.2">
      <c r="A52" s="58" t="s">
        <v>359</v>
      </c>
      <c r="B52" s="58">
        <v>11401</v>
      </c>
      <c r="C52" s="58">
        <v>106</v>
      </c>
      <c r="D52" s="58" t="s">
        <v>1309</v>
      </c>
      <c r="E52" s="58">
        <v>14</v>
      </c>
      <c r="F52" s="58" t="s">
        <v>59</v>
      </c>
    </row>
    <row r="53" spans="1:7" x14ac:dyDescent="0.2">
      <c r="A53" s="58" t="s">
        <v>360</v>
      </c>
      <c r="B53" s="58">
        <v>11402</v>
      </c>
      <c r="C53" s="58">
        <v>107</v>
      </c>
      <c r="D53" s="58" t="s">
        <v>1311</v>
      </c>
      <c r="F53" s="58" t="s">
        <v>1311</v>
      </c>
      <c r="G53" s="173" t="s">
        <v>1322</v>
      </c>
    </row>
    <row r="54" spans="1:7" x14ac:dyDescent="0.2">
      <c r="A54" s="58" t="s">
        <v>361</v>
      </c>
      <c r="B54" s="58">
        <v>11419</v>
      </c>
      <c r="C54" s="58">
        <v>108</v>
      </c>
      <c r="D54" s="58" t="s">
        <v>1311</v>
      </c>
      <c r="F54" s="58" t="s">
        <v>1311</v>
      </c>
      <c r="G54" s="173" t="s">
        <v>1323</v>
      </c>
    </row>
    <row r="55" spans="1:7" x14ac:dyDescent="0.2">
      <c r="A55" s="58" t="s">
        <v>362</v>
      </c>
      <c r="B55" s="58">
        <v>11421</v>
      </c>
      <c r="C55" s="58">
        <v>109</v>
      </c>
      <c r="D55" s="58" t="s">
        <v>1309</v>
      </c>
      <c r="E55" s="58">
        <v>14</v>
      </c>
      <c r="F55" s="58" t="s">
        <v>59</v>
      </c>
    </row>
    <row r="56" spans="1:7" x14ac:dyDescent="0.2">
      <c r="A56" s="58" t="s">
        <v>363</v>
      </c>
      <c r="B56" s="58">
        <v>11439</v>
      </c>
      <c r="C56" s="58">
        <v>110</v>
      </c>
      <c r="D56" s="58" t="s">
        <v>1311</v>
      </c>
      <c r="F56" s="58" t="s">
        <v>1311</v>
      </c>
      <c r="G56" s="173" t="s">
        <v>1313</v>
      </c>
    </row>
    <row r="57" spans="1:7" x14ac:dyDescent="0.2">
      <c r="A57" s="58" t="s">
        <v>364</v>
      </c>
      <c r="B57" s="58">
        <v>11451</v>
      </c>
      <c r="C57" s="58">
        <v>111</v>
      </c>
      <c r="D57" s="58" t="s">
        <v>1309</v>
      </c>
      <c r="E57" s="58">
        <v>14</v>
      </c>
      <c r="F57" s="58" t="s">
        <v>59</v>
      </c>
    </row>
    <row r="58" spans="1:7" x14ac:dyDescent="0.2">
      <c r="A58" s="58" t="s">
        <v>365</v>
      </c>
      <c r="B58" s="58">
        <v>11459</v>
      </c>
      <c r="C58" s="58">
        <v>112</v>
      </c>
      <c r="D58" s="58" t="s">
        <v>1311</v>
      </c>
      <c r="F58" s="58" t="s">
        <v>1311</v>
      </c>
      <c r="G58" s="173" t="s">
        <v>1313</v>
      </c>
    </row>
    <row r="59" spans="1:7" x14ac:dyDescent="0.2">
      <c r="A59" s="58" t="s">
        <v>366</v>
      </c>
      <c r="B59" s="58">
        <v>11469</v>
      </c>
      <c r="C59" s="58">
        <v>113</v>
      </c>
      <c r="D59" s="58" t="s">
        <v>1311</v>
      </c>
      <c r="F59" s="58" t="s">
        <v>1311</v>
      </c>
      <c r="G59" s="173" t="s">
        <v>1324</v>
      </c>
    </row>
    <row r="60" spans="1:7" x14ac:dyDescent="0.2">
      <c r="A60" s="58" t="s">
        <v>305</v>
      </c>
      <c r="B60" s="58">
        <v>11500</v>
      </c>
      <c r="C60" s="58">
        <v>114</v>
      </c>
      <c r="D60" s="58" t="s">
        <v>1311</v>
      </c>
      <c r="F60" s="58" t="s">
        <v>1311</v>
      </c>
      <c r="G60" s="173" t="s">
        <v>1325</v>
      </c>
    </row>
    <row r="62" spans="1:7" x14ac:dyDescent="0.2">
      <c r="A62" s="172" t="s">
        <v>1326</v>
      </c>
    </row>
    <row r="63" spans="1:7" x14ac:dyDescent="0.2">
      <c r="A63" s="58" t="s">
        <v>368</v>
      </c>
      <c r="B63" s="58">
        <v>12001</v>
      </c>
      <c r="C63" s="58">
        <v>121</v>
      </c>
      <c r="D63" s="58" t="s">
        <v>1309</v>
      </c>
      <c r="E63" s="58">
        <v>24</v>
      </c>
      <c r="F63" s="58" t="s">
        <v>38</v>
      </c>
    </row>
    <row r="64" spans="1:7" x14ac:dyDescent="0.2">
      <c r="A64" s="58" t="s">
        <v>369</v>
      </c>
      <c r="B64" s="58">
        <v>12002</v>
      </c>
      <c r="C64" s="58">
        <v>122</v>
      </c>
      <c r="D64" s="58" t="s">
        <v>1309</v>
      </c>
      <c r="E64" s="58">
        <v>24</v>
      </c>
      <c r="F64" s="58" t="s">
        <v>38</v>
      </c>
    </row>
    <row r="65" spans="1:7" x14ac:dyDescent="0.2">
      <c r="A65" s="58" t="s">
        <v>370</v>
      </c>
      <c r="B65" s="58">
        <v>12003</v>
      </c>
      <c r="C65" s="58">
        <v>123</v>
      </c>
      <c r="D65" s="58" t="s">
        <v>1309</v>
      </c>
      <c r="E65" s="58">
        <v>24</v>
      </c>
      <c r="F65" s="58" t="s">
        <v>38</v>
      </c>
    </row>
    <row r="66" spans="1:7" x14ac:dyDescent="0.2">
      <c r="A66" s="58" t="s">
        <v>371</v>
      </c>
      <c r="B66" s="58">
        <v>12009</v>
      </c>
      <c r="C66" s="58">
        <v>124</v>
      </c>
      <c r="D66" s="58" t="s">
        <v>1311</v>
      </c>
      <c r="F66" s="58" t="s">
        <v>1311</v>
      </c>
      <c r="G66" s="173" t="s">
        <v>1313</v>
      </c>
    </row>
    <row r="67" spans="1:7" x14ac:dyDescent="0.2">
      <c r="A67" s="58" t="s">
        <v>372</v>
      </c>
      <c r="B67" s="58">
        <v>12011</v>
      </c>
      <c r="C67" s="58">
        <v>125</v>
      </c>
      <c r="D67" s="58" t="s">
        <v>1309</v>
      </c>
      <c r="E67" s="58">
        <v>24</v>
      </c>
      <c r="F67" s="58" t="s">
        <v>38</v>
      </c>
    </row>
    <row r="68" spans="1:7" x14ac:dyDescent="0.2">
      <c r="A68" s="58" t="s">
        <v>373</v>
      </c>
      <c r="B68" s="58">
        <v>12012</v>
      </c>
      <c r="C68" s="58">
        <v>126</v>
      </c>
      <c r="D68" s="58" t="s">
        <v>1309</v>
      </c>
      <c r="E68" s="58">
        <v>24</v>
      </c>
      <c r="F68" s="58" t="s">
        <v>38</v>
      </c>
    </row>
    <row r="69" spans="1:7" x14ac:dyDescent="0.2">
      <c r="A69" s="58" t="s">
        <v>374</v>
      </c>
      <c r="B69" s="58">
        <v>12029</v>
      </c>
      <c r="C69" s="58">
        <v>127</v>
      </c>
      <c r="D69" s="58" t="s">
        <v>1311</v>
      </c>
      <c r="F69" s="58" t="s">
        <v>1311</v>
      </c>
      <c r="G69" s="173" t="s">
        <v>1313</v>
      </c>
    </row>
    <row r="70" spans="1:7" x14ac:dyDescent="0.2">
      <c r="A70" s="58" t="s">
        <v>375</v>
      </c>
      <c r="B70" s="58">
        <v>12031</v>
      </c>
      <c r="C70" s="58">
        <v>128</v>
      </c>
      <c r="D70" s="58" t="s">
        <v>1309</v>
      </c>
      <c r="E70" s="58">
        <v>25</v>
      </c>
      <c r="F70" s="58" t="s">
        <v>39</v>
      </c>
    </row>
    <row r="71" spans="1:7" x14ac:dyDescent="0.2">
      <c r="A71" s="58" t="s">
        <v>376</v>
      </c>
      <c r="B71" s="58">
        <v>12032</v>
      </c>
      <c r="C71" s="58">
        <v>129</v>
      </c>
      <c r="D71" s="58" t="s">
        <v>1309</v>
      </c>
      <c r="E71" s="58">
        <v>25</v>
      </c>
      <c r="F71" s="58" t="s">
        <v>39</v>
      </c>
    </row>
    <row r="72" spans="1:7" x14ac:dyDescent="0.2">
      <c r="A72" s="58" t="s">
        <v>377</v>
      </c>
      <c r="B72" s="58">
        <v>12033</v>
      </c>
      <c r="C72" s="58">
        <v>130</v>
      </c>
      <c r="D72" s="58" t="s">
        <v>1309</v>
      </c>
      <c r="E72" s="58">
        <v>25</v>
      </c>
      <c r="F72" s="58" t="s">
        <v>39</v>
      </c>
    </row>
    <row r="73" spans="1:7" x14ac:dyDescent="0.2">
      <c r="A73" s="58" t="s">
        <v>378</v>
      </c>
      <c r="B73" s="58">
        <v>12034</v>
      </c>
      <c r="C73" s="58">
        <v>131</v>
      </c>
      <c r="D73" s="58" t="s">
        <v>1309</v>
      </c>
      <c r="E73" s="58">
        <v>25</v>
      </c>
      <c r="F73" s="58" t="s">
        <v>39</v>
      </c>
    </row>
    <row r="74" spans="1:7" x14ac:dyDescent="0.2">
      <c r="A74" s="58" t="s">
        <v>379</v>
      </c>
      <c r="B74" s="58">
        <v>12035</v>
      </c>
      <c r="C74" s="58">
        <v>132</v>
      </c>
      <c r="D74" s="58" t="s">
        <v>1309</v>
      </c>
      <c r="E74" s="58">
        <v>25</v>
      </c>
      <c r="F74" s="58" t="s">
        <v>39</v>
      </c>
    </row>
    <row r="75" spans="1:7" x14ac:dyDescent="0.2">
      <c r="A75" s="58" t="s">
        <v>1327</v>
      </c>
      <c r="B75" s="58">
        <v>12036</v>
      </c>
      <c r="C75" s="58">
        <v>133</v>
      </c>
      <c r="D75" s="58" t="s">
        <v>1309</v>
      </c>
      <c r="E75" s="58">
        <v>25</v>
      </c>
      <c r="F75" s="58" t="s">
        <v>39</v>
      </c>
    </row>
    <row r="76" spans="1:7" x14ac:dyDescent="0.2">
      <c r="A76" s="58" t="s">
        <v>381</v>
      </c>
      <c r="B76" s="58">
        <v>12049</v>
      </c>
      <c r="C76" s="58">
        <v>134</v>
      </c>
      <c r="D76" s="58" t="s">
        <v>1311</v>
      </c>
      <c r="F76" s="58" t="s">
        <v>1311</v>
      </c>
      <c r="G76" s="173" t="s">
        <v>1313</v>
      </c>
    </row>
    <row r="77" spans="1:7" x14ac:dyDescent="0.2">
      <c r="A77" s="58" t="s">
        <v>382</v>
      </c>
      <c r="B77" s="58">
        <v>12054</v>
      </c>
      <c r="C77" s="58">
        <v>135</v>
      </c>
      <c r="D77" s="58" t="s">
        <v>1309</v>
      </c>
      <c r="E77" s="58">
        <v>25</v>
      </c>
      <c r="F77" s="58" t="s">
        <v>39</v>
      </c>
    </row>
    <row r="78" spans="1:7" x14ac:dyDescent="0.2">
      <c r="A78" s="58" t="s">
        <v>383</v>
      </c>
      <c r="B78" s="58">
        <v>12069</v>
      </c>
      <c r="C78" s="58">
        <v>136</v>
      </c>
      <c r="D78" s="58" t="s">
        <v>1311</v>
      </c>
      <c r="F78" s="58" t="s">
        <v>1311</v>
      </c>
      <c r="G78" s="173" t="s">
        <v>1313</v>
      </c>
    </row>
    <row r="79" spans="1:7" x14ac:dyDescent="0.2">
      <c r="A79" s="58" t="s">
        <v>384</v>
      </c>
      <c r="B79" s="58">
        <v>12071</v>
      </c>
      <c r="C79" s="58">
        <v>137</v>
      </c>
      <c r="D79" s="58" t="s">
        <v>1309</v>
      </c>
      <c r="E79" s="58">
        <v>26</v>
      </c>
      <c r="F79" s="58" t="s">
        <v>189</v>
      </c>
    </row>
    <row r="80" spans="1:7" x14ac:dyDescent="0.2">
      <c r="A80" s="58" t="s">
        <v>385</v>
      </c>
      <c r="B80" s="58">
        <v>12072</v>
      </c>
      <c r="C80" s="58">
        <v>138</v>
      </c>
      <c r="D80" s="58" t="s">
        <v>1309</v>
      </c>
      <c r="E80" s="58">
        <v>26</v>
      </c>
      <c r="F80" s="58" t="s">
        <v>189</v>
      </c>
    </row>
    <row r="81" spans="1:7" x14ac:dyDescent="0.2">
      <c r="A81" s="58" t="s">
        <v>386</v>
      </c>
      <c r="B81" s="58">
        <v>12073</v>
      </c>
      <c r="C81" s="58">
        <v>139</v>
      </c>
      <c r="D81" s="58" t="s">
        <v>1309</v>
      </c>
      <c r="E81" s="58">
        <v>26</v>
      </c>
      <c r="F81" s="58" t="s">
        <v>189</v>
      </c>
    </row>
    <row r="82" spans="1:7" x14ac:dyDescent="0.2">
      <c r="A82" s="58" t="s">
        <v>387</v>
      </c>
      <c r="B82" s="58">
        <v>12074</v>
      </c>
      <c r="C82" s="58">
        <v>140</v>
      </c>
      <c r="D82" s="58" t="s">
        <v>1309</v>
      </c>
      <c r="E82" s="58">
        <v>26</v>
      </c>
      <c r="F82" s="58" t="s">
        <v>189</v>
      </c>
    </row>
    <row r="83" spans="1:7" x14ac:dyDescent="0.2">
      <c r="A83" s="58" t="s">
        <v>40</v>
      </c>
      <c r="B83" s="58">
        <v>12075</v>
      </c>
      <c r="C83" s="58">
        <v>141</v>
      </c>
      <c r="D83" s="58" t="s">
        <v>1309</v>
      </c>
      <c r="E83" s="58">
        <v>26</v>
      </c>
      <c r="F83" s="58" t="s">
        <v>189</v>
      </c>
    </row>
    <row r="84" spans="1:7" x14ac:dyDescent="0.2">
      <c r="A84" s="58" t="s">
        <v>388</v>
      </c>
      <c r="B84" s="58">
        <v>12076</v>
      </c>
      <c r="C84" s="58">
        <v>142</v>
      </c>
      <c r="D84" s="58" t="s">
        <v>1309</v>
      </c>
      <c r="E84" s="58">
        <v>26</v>
      </c>
      <c r="F84" s="58" t="s">
        <v>189</v>
      </c>
    </row>
    <row r="85" spans="1:7" x14ac:dyDescent="0.2">
      <c r="A85" s="58" t="s">
        <v>389</v>
      </c>
      <c r="B85" s="58">
        <v>12077</v>
      </c>
      <c r="C85" s="58">
        <v>143</v>
      </c>
      <c r="D85" s="58" t="s">
        <v>1309</v>
      </c>
      <c r="E85" s="58">
        <v>26</v>
      </c>
      <c r="F85" s="58" t="s">
        <v>189</v>
      </c>
    </row>
    <row r="86" spans="1:7" x14ac:dyDescent="0.2">
      <c r="A86" s="58" t="s">
        <v>390</v>
      </c>
      <c r="B86" s="58">
        <v>12078</v>
      </c>
      <c r="C86" s="58">
        <v>144</v>
      </c>
      <c r="D86" s="58" t="s">
        <v>1309</v>
      </c>
      <c r="E86" s="58">
        <v>26</v>
      </c>
      <c r="F86" s="58" t="s">
        <v>189</v>
      </c>
    </row>
    <row r="87" spans="1:7" x14ac:dyDescent="0.2">
      <c r="A87" s="58" t="s">
        <v>306</v>
      </c>
      <c r="B87" s="58">
        <v>12099</v>
      </c>
      <c r="C87" s="58">
        <v>145</v>
      </c>
      <c r="D87" s="58" t="s">
        <v>1311</v>
      </c>
      <c r="F87" s="58" t="s">
        <v>1311</v>
      </c>
      <c r="G87" s="173" t="s">
        <v>1316</v>
      </c>
    </row>
    <row r="88" spans="1:7" x14ac:dyDescent="0.2">
      <c r="A88" s="58" t="s">
        <v>1328</v>
      </c>
      <c r="B88" s="58" t="s">
        <v>1329</v>
      </c>
      <c r="C88" s="58" t="s">
        <v>1330</v>
      </c>
      <c r="D88" s="58" t="s">
        <v>1309</v>
      </c>
      <c r="E88" s="58">
        <v>29</v>
      </c>
      <c r="F88" s="58" t="s">
        <v>1331</v>
      </c>
      <c r="G88" s="58" t="s">
        <v>1332</v>
      </c>
    </row>
    <row r="89" spans="1:7" x14ac:dyDescent="0.2">
      <c r="A89" s="58" t="s">
        <v>402</v>
      </c>
      <c r="B89" s="58">
        <v>12129</v>
      </c>
      <c r="C89" s="58">
        <v>158</v>
      </c>
      <c r="D89" s="58" t="s">
        <v>1309</v>
      </c>
      <c r="E89" s="58">
        <v>29</v>
      </c>
      <c r="F89" s="58" t="s">
        <v>1331</v>
      </c>
      <c r="G89" s="58" t="s">
        <v>1333</v>
      </c>
    </row>
    <row r="90" spans="1:7" x14ac:dyDescent="0.2">
      <c r="A90" s="58" t="s">
        <v>403</v>
      </c>
      <c r="B90" s="58">
        <v>12131</v>
      </c>
      <c r="C90" s="58">
        <v>159</v>
      </c>
      <c r="D90" s="58" t="s">
        <v>1309</v>
      </c>
      <c r="E90" s="58">
        <v>29</v>
      </c>
      <c r="F90" s="58" t="s">
        <v>1334</v>
      </c>
    </row>
    <row r="91" spans="1:7" x14ac:dyDescent="0.2">
      <c r="A91" s="58" t="s">
        <v>404</v>
      </c>
      <c r="B91" s="58">
        <v>12132</v>
      </c>
      <c r="C91" s="58">
        <v>160</v>
      </c>
      <c r="D91" s="58" t="s">
        <v>1309</v>
      </c>
      <c r="E91" s="58">
        <v>29</v>
      </c>
      <c r="F91" s="58" t="s">
        <v>1334</v>
      </c>
    </row>
    <row r="92" spans="1:7" x14ac:dyDescent="0.2">
      <c r="A92" s="58" t="s">
        <v>405</v>
      </c>
      <c r="B92" s="58">
        <v>12133</v>
      </c>
      <c r="C92" s="58">
        <v>161</v>
      </c>
      <c r="D92" s="58" t="s">
        <v>1309</v>
      </c>
      <c r="E92" s="58">
        <v>29</v>
      </c>
      <c r="F92" s="58" t="s">
        <v>1334</v>
      </c>
    </row>
    <row r="93" spans="1:7" x14ac:dyDescent="0.2">
      <c r="A93" s="58" t="s">
        <v>406</v>
      </c>
      <c r="B93" s="58">
        <v>12140</v>
      </c>
      <c r="C93" s="58">
        <v>162</v>
      </c>
      <c r="D93" s="58" t="s">
        <v>1309</v>
      </c>
      <c r="E93" s="58">
        <v>29</v>
      </c>
      <c r="F93" s="58" t="s">
        <v>1334</v>
      </c>
    </row>
    <row r="94" spans="1:7" x14ac:dyDescent="0.2">
      <c r="A94" s="58" t="s">
        <v>407</v>
      </c>
      <c r="B94" s="58">
        <v>12154</v>
      </c>
      <c r="C94" s="58">
        <v>163</v>
      </c>
      <c r="D94" s="58" t="s">
        <v>1309</v>
      </c>
      <c r="E94" s="58">
        <v>29</v>
      </c>
      <c r="F94" s="58" t="s">
        <v>1334</v>
      </c>
    </row>
    <row r="95" spans="1:7" x14ac:dyDescent="0.2">
      <c r="A95" s="58" t="s">
        <v>408</v>
      </c>
      <c r="B95" s="58">
        <v>12159</v>
      </c>
      <c r="C95" s="58">
        <v>164</v>
      </c>
      <c r="D95" s="58" t="s">
        <v>1311</v>
      </c>
      <c r="F95" s="58" t="s">
        <v>1311</v>
      </c>
      <c r="G95" s="173" t="s">
        <v>1313</v>
      </c>
    </row>
    <row r="96" spans="1:7" x14ac:dyDescent="0.2">
      <c r="A96" s="58" t="s">
        <v>307</v>
      </c>
      <c r="B96" s="58">
        <v>12169</v>
      </c>
      <c r="C96" s="58">
        <v>165</v>
      </c>
      <c r="D96" s="58" t="s">
        <v>1311</v>
      </c>
      <c r="F96" s="58" t="s">
        <v>1311</v>
      </c>
      <c r="G96" s="173" t="s">
        <v>1335</v>
      </c>
    </row>
    <row r="97" spans="1:7" x14ac:dyDescent="0.2">
      <c r="A97" s="58" t="s">
        <v>409</v>
      </c>
      <c r="B97" s="58">
        <v>12171</v>
      </c>
      <c r="C97" s="58">
        <v>166</v>
      </c>
      <c r="D97" s="58" t="s">
        <v>1309</v>
      </c>
      <c r="E97" s="58">
        <v>32</v>
      </c>
      <c r="F97" s="58" t="s">
        <v>43</v>
      </c>
    </row>
    <row r="98" spans="1:7" x14ac:dyDescent="0.2">
      <c r="A98" s="58" t="s">
        <v>410</v>
      </c>
      <c r="B98" s="58">
        <v>12173</v>
      </c>
      <c r="C98" s="58">
        <v>167</v>
      </c>
      <c r="D98" s="58" t="s">
        <v>1309</v>
      </c>
      <c r="E98" s="58">
        <v>34</v>
      </c>
      <c r="F98" s="58" t="s">
        <v>44</v>
      </c>
    </row>
    <row r="99" spans="1:7" x14ac:dyDescent="0.2">
      <c r="A99" s="58" t="s">
        <v>1336</v>
      </c>
      <c r="B99" s="58">
        <v>12174</v>
      </c>
      <c r="C99" s="58">
        <v>168</v>
      </c>
      <c r="D99" s="58" t="s">
        <v>1309</v>
      </c>
      <c r="E99" s="58">
        <v>34</v>
      </c>
      <c r="F99" s="58" t="s">
        <v>44</v>
      </c>
    </row>
    <row r="100" spans="1:7" x14ac:dyDescent="0.2">
      <c r="A100" s="58" t="s">
        <v>1337</v>
      </c>
      <c r="B100" s="58">
        <v>12189</v>
      </c>
      <c r="C100" s="58">
        <v>169</v>
      </c>
      <c r="D100" s="58" t="s">
        <v>1311</v>
      </c>
      <c r="F100" s="58" t="s">
        <v>1311</v>
      </c>
      <c r="G100" s="173" t="s">
        <v>1313</v>
      </c>
    </row>
    <row r="101" spans="1:7" x14ac:dyDescent="0.2">
      <c r="A101" s="58" t="s">
        <v>413</v>
      </c>
      <c r="B101" s="58">
        <v>12212</v>
      </c>
      <c r="C101" s="58">
        <v>170</v>
      </c>
      <c r="D101" s="58" t="s">
        <v>1309</v>
      </c>
      <c r="E101" s="58">
        <v>34</v>
      </c>
      <c r="F101" s="58" t="s">
        <v>44</v>
      </c>
    </row>
    <row r="102" spans="1:7" x14ac:dyDescent="0.2">
      <c r="A102" s="58" t="s">
        <v>308</v>
      </c>
      <c r="B102" s="58">
        <v>12214</v>
      </c>
      <c r="C102" s="58">
        <v>171</v>
      </c>
      <c r="D102" s="58" t="s">
        <v>1309</v>
      </c>
      <c r="E102" s="58">
        <v>33</v>
      </c>
      <c r="F102" s="58" t="s">
        <v>48</v>
      </c>
    </row>
    <row r="103" spans="1:7" x14ac:dyDescent="0.2">
      <c r="A103" s="58" t="s">
        <v>414</v>
      </c>
      <c r="B103" s="58">
        <v>12215</v>
      </c>
      <c r="C103" s="58">
        <v>172</v>
      </c>
      <c r="D103" s="58" t="s">
        <v>1311</v>
      </c>
      <c r="F103" s="58" t="s">
        <v>1311</v>
      </c>
      <c r="G103" s="173" t="s">
        <v>1322</v>
      </c>
    </row>
    <row r="104" spans="1:7" x14ac:dyDescent="0.2">
      <c r="A104" s="58" t="s">
        <v>415</v>
      </c>
      <c r="B104" s="58">
        <v>12217</v>
      </c>
      <c r="C104" s="58">
        <v>173</v>
      </c>
      <c r="D104" s="58" t="s">
        <v>1309</v>
      </c>
      <c r="E104" s="58">
        <v>34</v>
      </c>
      <c r="F104" s="58" t="s">
        <v>44</v>
      </c>
    </row>
    <row r="105" spans="1:7" x14ac:dyDescent="0.2">
      <c r="A105" s="58" t="s">
        <v>416</v>
      </c>
      <c r="B105" s="58">
        <v>12220</v>
      </c>
      <c r="C105" s="58">
        <v>174</v>
      </c>
      <c r="D105" s="58" t="s">
        <v>1309</v>
      </c>
      <c r="E105" s="58">
        <v>34</v>
      </c>
      <c r="F105" s="58" t="s">
        <v>44</v>
      </c>
    </row>
    <row r="106" spans="1:7" x14ac:dyDescent="0.2">
      <c r="A106" s="58" t="s">
        <v>417</v>
      </c>
      <c r="B106" s="58">
        <v>12222</v>
      </c>
      <c r="C106" s="58">
        <v>175</v>
      </c>
      <c r="D106" s="58" t="s">
        <v>1309</v>
      </c>
      <c r="E106" s="58">
        <v>34</v>
      </c>
      <c r="F106" s="58" t="s">
        <v>44</v>
      </c>
    </row>
    <row r="107" spans="1:7" x14ac:dyDescent="0.2">
      <c r="A107" s="58" t="s">
        <v>418</v>
      </c>
      <c r="B107" s="58">
        <v>12224</v>
      </c>
      <c r="C107" s="58">
        <v>176</v>
      </c>
      <c r="D107" s="58" t="s">
        <v>1309</v>
      </c>
      <c r="E107" s="58">
        <v>34</v>
      </c>
      <c r="F107" s="58" t="s">
        <v>44</v>
      </c>
    </row>
    <row r="108" spans="1:7" x14ac:dyDescent="0.2">
      <c r="A108" s="58" t="s">
        <v>419</v>
      </c>
      <c r="B108" s="58">
        <v>12225</v>
      </c>
      <c r="C108" s="58">
        <v>177</v>
      </c>
      <c r="D108" s="58" t="s">
        <v>1309</v>
      </c>
      <c r="E108" s="58">
        <v>34</v>
      </c>
      <c r="F108" s="58" t="s">
        <v>44</v>
      </c>
    </row>
    <row r="109" spans="1:7" x14ac:dyDescent="0.2">
      <c r="A109" s="58" t="s">
        <v>1338</v>
      </c>
      <c r="B109" s="58">
        <v>12249</v>
      </c>
      <c r="C109" s="58">
        <v>178</v>
      </c>
      <c r="D109" s="58" t="s">
        <v>1311</v>
      </c>
      <c r="F109" s="58" t="s">
        <v>1311</v>
      </c>
      <c r="G109" s="173" t="s">
        <v>1313</v>
      </c>
    </row>
    <row r="110" spans="1:7" x14ac:dyDescent="0.2">
      <c r="A110" s="58" t="s">
        <v>1339</v>
      </c>
      <c r="B110" s="58">
        <v>12251</v>
      </c>
      <c r="C110" s="58">
        <v>179</v>
      </c>
      <c r="D110" s="58" t="s">
        <v>1309</v>
      </c>
      <c r="E110" s="58">
        <v>34</v>
      </c>
      <c r="F110" s="58" t="s">
        <v>44</v>
      </c>
    </row>
    <row r="111" spans="1:7" x14ac:dyDescent="0.2">
      <c r="A111" s="58" t="s">
        <v>422</v>
      </c>
      <c r="B111" s="58">
        <v>12252</v>
      </c>
      <c r="C111" s="58">
        <v>180</v>
      </c>
      <c r="D111" s="58" t="s">
        <v>1309</v>
      </c>
      <c r="E111" s="58">
        <v>34</v>
      </c>
      <c r="F111" s="58" t="s">
        <v>44</v>
      </c>
    </row>
    <row r="112" spans="1:7" x14ac:dyDescent="0.2">
      <c r="A112" s="58" t="s">
        <v>423</v>
      </c>
      <c r="B112" s="58">
        <v>12254</v>
      </c>
      <c r="C112" s="58">
        <v>181</v>
      </c>
      <c r="D112" s="58" t="s">
        <v>1309</v>
      </c>
      <c r="E112" s="58">
        <v>34</v>
      </c>
      <c r="F112" s="58" t="s">
        <v>44</v>
      </c>
    </row>
    <row r="113" spans="1:7" x14ac:dyDescent="0.2">
      <c r="A113" s="58" t="s">
        <v>424</v>
      </c>
      <c r="B113" s="58">
        <v>12256</v>
      </c>
      <c r="C113" s="58">
        <v>182</v>
      </c>
      <c r="D113" s="58" t="s">
        <v>1309</v>
      </c>
      <c r="E113" s="58">
        <v>34</v>
      </c>
      <c r="F113" s="58" t="s">
        <v>44</v>
      </c>
    </row>
    <row r="114" spans="1:7" x14ac:dyDescent="0.2">
      <c r="A114" s="58" t="s">
        <v>425</v>
      </c>
      <c r="B114" s="58">
        <v>12257</v>
      </c>
      <c r="C114" s="58">
        <v>183</v>
      </c>
      <c r="D114" s="58" t="s">
        <v>1309</v>
      </c>
      <c r="E114" s="58">
        <v>34</v>
      </c>
      <c r="F114" s="58" t="s">
        <v>44</v>
      </c>
    </row>
    <row r="115" spans="1:7" x14ac:dyDescent="0.2">
      <c r="A115" s="58" t="s">
        <v>426</v>
      </c>
      <c r="B115" s="58">
        <v>12262</v>
      </c>
      <c r="C115" s="58">
        <v>184</v>
      </c>
      <c r="D115" s="58" t="s">
        <v>1309</v>
      </c>
      <c r="E115" s="58">
        <v>34</v>
      </c>
      <c r="F115" s="58" t="s">
        <v>44</v>
      </c>
    </row>
    <row r="116" spans="1:7" x14ac:dyDescent="0.2">
      <c r="A116" s="58" t="s">
        <v>427</v>
      </c>
      <c r="B116" s="58">
        <v>12265</v>
      </c>
      <c r="C116" s="58">
        <v>185</v>
      </c>
      <c r="D116" s="58" t="s">
        <v>1309</v>
      </c>
      <c r="E116" s="58">
        <v>34</v>
      </c>
      <c r="F116" s="58" t="s">
        <v>44</v>
      </c>
    </row>
    <row r="117" spans="1:7" x14ac:dyDescent="0.2">
      <c r="A117" s="58" t="s">
        <v>428</v>
      </c>
      <c r="B117" s="58">
        <v>12289</v>
      </c>
      <c r="C117" s="58">
        <v>186</v>
      </c>
      <c r="D117" s="58" t="s">
        <v>1311</v>
      </c>
      <c r="F117" s="58" t="s">
        <v>1311</v>
      </c>
      <c r="G117" s="173" t="s">
        <v>1313</v>
      </c>
    </row>
    <row r="118" spans="1:7" x14ac:dyDescent="0.2">
      <c r="A118" s="58" t="s">
        <v>309</v>
      </c>
      <c r="B118" s="58">
        <v>12299</v>
      </c>
      <c r="C118" s="58">
        <v>187</v>
      </c>
      <c r="D118" s="58" t="s">
        <v>1311</v>
      </c>
      <c r="F118" s="58" t="s">
        <v>1311</v>
      </c>
      <c r="G118" s="173" t="s">
        <v>1316</v>
      </c>
    </row>
    <row r="119" spans="1:7" x14ac:dyDescent="0.2">
      <c r="A119" s="58" t="s">
        <v>429</v>
      </c>
      <c r="B119" s="58">
        <v>12309</v>
      </c>
      <c r="C119" s="58">
        <v>188</v>
      </c>
      <c r="D119" s="58" t="s">
        <v>1311</v>
      </c>
      <c r="F119" s="58" t="s">
        <v>1311</v>
      </c>
      <c r="G119" s="173" t="s">
        <v>1316</v>
      </c>
    </row>
    <row r="120" spans="1:7" x14ac:dyDescent="0.2">
      <c r="A120" s="58" t="s">
        <v>430</v>
      </c>
      <c r="B120" s="58">
        <v>12311</v>
      </c>
      <c r="C120" s="58">
        <v>189</v>
      </c>
      <c r="D120" s="58" t="s">
        <v>1309</v>
      </c>
      <c r="E120" s="58">
        <v>40</v>
      </c>
      <c r="F120" s="58" t="s">
        <v>1340</v>
      </c>
    </row>
    <row r="121" spans="1:7" x14ac:dyDescent="0.2">
      <c r="A121" s="58" t="s">
        <v>431</v>
      </c>
      <c r="B121" s="58">
        <v>12312</v>
      </c>
      <c r="C121" s="58">
        <v>190</v>
      </c>
      <c r="D121" s="58" t="s">
        <v>1309</v>
      </c>
      <c r="E121" s="58">
        <v>40</v>
      </c>
      <c r="F121" s="58" t="s">
        <v>1340</v>
      </c>
    </row>
    <row r="122" spans="1:7" x14ac:dyDescent="0.2">
      <c r="A122" s="58" t="s">
        <v>432</v>
      </c>
      <c r="B122" s="58">
        <v>12329</v>
      </c>
      <c r="C122" s="58">
        <v>191</v>
      </c>
      <c r="D122" s="58" t="s">
        <v>1309</v>
      </c>
      <c r="E122" s="58">
        <v>40</v>
      </c>
      <c r="F122" s="58" t="s">
        <v>1340</v>
      </c>
      <c r="G122" s="173" t="s">
        <v>1341</v>
      </c>
    </row>
    <row r="123" spans="1:7" x14ac:dyDescent="0.2">
      <c r="A123" s="58" t="s">
        <v>433</v>
      </c>
      <c r="B123" s="58">
        <v>12331</v>
      </c>
      <c r="C123" s="58">
        <v>192</v>
      </c>
      <c r="D123" s="58" t="s">
        <v>1309</v>
      </c>
      <c r="E123" s="58">
        <v>40</v>
      </c>
      <c r="F123" s="58" t="s">
        <v>1340</v>
      </c>
    </row>
    <row r="124" spans="1:7" x14ac:dyDescent="0.2">
      <c r="A124" s="58" t="s">
        <v>434</v>
      </c>
      <c r="B124" s="58">
        <v>12332</v>
      </c>
      <c r="C124" s="58">
        <v>193</v>
      </c>
      <c r="D124" s="58" t="s">
        <v>1309</v>
      </c>
      <c r="E124" s="58">
        <v>40</v>
      </c>
      <c r="F124" s="58" t="s">
        <v>1340</v>
      </c>
    </row>
    <row r="125" spans="1:7" x14ac:dyDescent="0.2">
      <c r="A125" s="58" t="s">
        <v>435</v>
      </c>
      <c r="B125" s="58">
        <v>12339</v>
      </c>
      <c r="C125" s="58">
        <v>194</v>
      </c>
      <c r="D125" s="58" t="s">
        <v>1311</v>
      </c>
      <c r="F125" s="58" t="s">
        <v>1311</v>
      </c>
      <c r="G125" s="173" t="s">
        <v>1342</v>
      </c>
    </row>
    <row r="126" spans="1:7" x14ac:dyDescent="0.2">
      <c r="A126" s="58" t="s">
        <v>436</v>
      </c>
      <c r="B126" s="58">
        <v>12341</v>
      </c>
      <c r="C126" s="58">
        <v>195</v>
      </c>
      <c r="D126" s="58" t="s">
        <v>1309</v>
      </c>
      <c r="E126" s="58">
        <v>40</v>
      </c>
      <c r="F126" s="58" t="s">
        <v>1340</v>
      </c>
    </row>
    <row r="127" spans="1:7" x14ac:dyDescent="0.2">
      <c r="A127" s="58" t="s">
        <v>310</v>
      </c>
      <c r="B127" s="58">
        <v>12342</v>
      </c>
      <c r="C127" s="58">
        <v>196</v>
      </c>
      <c r="D127" s="58" t="s">
        <v>1309</v>
      </c>
      <c r="E127" s="58">
        <v>38</v>
      </c>
      <c r="F127" s="58" t="s">
        <v>47</v>
      </c>
    </row>
    <row r="128" spans="1:7" x14ac:dyDescent="0.2">
      <c r="A128" s="58" t="s">
        <v>414</v>
      </c>
      <c r="B128" s="58">
        <v>12343</v>
      </c>
      <c r="C128" s="58">
        <v>197</v>
      </c>
      <c r="D128" s="58" t="s">
        <v>1311</v>
      </c>
      <c r="F128" s="58" t="s">
        <v>1311</v>
      </c>
      <c r="G128" s="173" t="s">
        <v>1322</v>
      </c>
    </row>
    <row r="129" spans="1:7" x14ac:dyDescent="0.2">
      <c r="A129" s="58" t="s">
        <v>437</v>
      </c>
      <c r="B129" s="58">
        <v>12344</v>
      </c>
      <c r="C129" s="58">
        <v>198</v>
      </c>
      <c r="D129" s="58" t="s">
        <v>1309</v>
      </c>
      <c r="E129" s="58">
        <v>40</v>
      </c>
      <c r="F129" s="58" t="s">
        <v>1340</v>
      </c>
    </row>
    <row r="130" spans="1:7" x14ac:dyDescent="0.2">
      <c r="A130" s="58" t="s">
        <v>438</v>
      </c>
      <c r="B130" s="58">
        <v>12345</v>
      </c>
      <c r="C130" s="58">
        <v>199</v>
      </c>
      <c r="D130" s="58" t="s">
        <v>1309</v>
      </c>
      <c r="E130" s="58">
        <v>40</v>
      </c>
      <c r="F130" s="58" t="s">
        <v>1340</v>
      </c>
    </row>
    <row r="131" spans="1:7" x14ac:dyDescent="0.2">
      <c r="A131" s="58" t="s">
        <v>439</v>
      </c>
      <c r="B131" s="58">
        <v>12346</v>
      </c>
      <c r="C131" s="58">
        <v>200</v>
      </c>
      <c r="D131" s="58" t="s">
        <v>1309</v>
      </c>
      <c r="E131" s="58">
        <v>40</v>
      </c>
      <c r="F131" s="58" t="s">
        <v>1340</v>
      </c>
    </row>
    <row r="132" spans="1:7" x14ac:dyDescent="0.2">
      <c r="A132" s="58" t="s">
        <v>440</v>
      </c>
      <c r="B132" s="58">
        <v>12347</v>
      </c>
      <c r="C132" s="58">
        <v>201</v>
      </c>
      <c r="D132" s="58" t="s">
        <v>1309</v>
      </c>
      <c r="E132" s="58">
        <v>40</v>
      </c>
      <c r="F132" s="58" t="s">
        <v>1340</v>
      </c>
    </row>
    <row r="133" spans="1:7" x14ac:dyDescent="0.2">
      <c r="A133" s="58" t="s">
        <v>441</v>
      </c>
      <c r="B133" s="58">
        <v>12348</v>
      </c>
      <c r="C133" s="58">
        <v>202</v>
      </c>
      <c r="D133" s="58" t="s">
        <v>1309</v>
      </c>
      <c r="E133" s="58">
        <v>40</v>
      </c>
      <c r="F133" s="58" t="s">
        <v>1340</v>
      </c>
    </row>
    <row r="134" spans="1:7" x14ac:dyDescent="0.2">
      <c r="A134" s="58" t="s">
        <v>1343</v>
      </c>
      <c r="B134" s="58">
        <v>12350</v>
      </c>
      <c r="C134" s="58">
        <v>203</v>
      </c>
      <c r="D134" s="58" t="s">
        <v>1311</v>
      </c>
      <c r="F134" s="58" t="s">
        <v>1311</v>
      </c>
      <c r="G134" s="173" t="s">
        <v>1322</v>
      </c>
    </row>
    <row r="135" spans="1:7" x14ac:dyDescent="0.2">
      <c r="A135" s="58" t="s">
        <v>443</v>
      </c>
      <c r="B135" s="58">
        <v>12369</v>
      </c>
      <c r="C135" s="58">
        <v>204</v>
      </c>
      <c r="D135" s="58" t="s">
        <v>1311</v>
      </c>
      <c r="F135" s="58" t="s">
        <v>1311</v>
      </c>
      <c r="G135" s="173" t="s">
        <v>1313</v>
      </c>
    </row>
    <row r="136" spans="1:7" x14ac:dyDescent="0.2">
      <c r="A136" s="58" t="s">
        <v>311</v>
      </c>
      <c r="B136" s="58">
        <v>12371</v>
      </c>
      <c r="C136" s="58">
        <v>205</v>
      </c>
      <c r="D136" s="58" t="s">
        <v>1309</v>
      </c>
      <c r="E136" s="58">
        <v>37</v>
      </c>
      <c r="F136" s="58" t="s">
        <v>46</v>
      </c>
    </row>
    <row r="137" spans="1:7" x14ac:dyDescent="0.2">
      <c r="A137" s="58" t="s">
        <v>444</v>
      </c>
      <c r="B137" s="58">
        <v>12373</v>
      </c>
      <c r="C137" s="58">
        <v>206</v>
      </c>
      <c r="D137" s="58" t="s">
        <v>1309</v>
      </c>
      <c r="E137" s="58">
        <v>37</v>
      </c>
      <c r="F137" s="58" t="s">
        <v>46</v>
      </c>
    </row>
    <row r="138" spans="1:7" x14ac:dyDescent="0.2">
      <c r="A138" s="58" t="s">
        <v>445</v>
      </c>
      <c r="B138" s="58">
        <v>12374</v>
      </c>
      <c r="C138" s="58">
        <v>207</v>
      </c>
      <c r="D138" s="58" t="s">
        <v>1309</v>
      </c>
      <c r="E138" s="58">
        <v>40</v>
      </c>
      <c r="F138" s="58" t="s">
        <v>1340</v>
      </c>
    </row>
    <row r="139" spans="1:7" x14ac:dyDescent="0.2">
      <c r="A139" s="58" t="s">
        <v>446</v>
      </c>
      <c r="B139" s="58">
        <v>12375</v>
      </c>
      <c r="C139" s="58">
        <v>208</v>
      </c>
      <c r="D139" s="58" t="s">
        <v>1309</v>
      </c>
      <c r="E139" s="58">
        <v>40</v>
      </c>
      <c r="F139" s="58" t="s">
        <v>1340</v>
      </c>
    </row>
    <row r="140" spans="1:7" x14ac:dyDescent="0.2">
      <c r="A140" s="58" t="s">
        <v>447</v>
      </c>
      <c r="B140" s="58">
        <v>12376</v>
      </c>
      <c r="C140" s="58">
        <v>209</v>
      </c>
      <c r="D140" s="58" t="s">
        <v>1309</v>
      </c>
      <c r="E140" s="58">
        <v>40</v>
      </c>
      <c r="F140" s="58" t="s">
        <v>1340</v>
      </c>
    </row>
    <row r="141" spans="1:7" x14ac:dyDescent="0.2">
      <c r="A141" s="58" t="s">
        <v>448</v>
      </c>
      <c r="B141" s="58">
        <v>12378</v>
      </c>
      <c r="C141" s="58">
        <v>210</v>
      </c>
      <c r="D141" s="58" t="s">
        <v>1309</v>
      </c>
      <c r="E141" s="58">
        <v>40</v>
      </c>
      <c r="F141" s="58" t="s">
        <v>1340</v>
      </c>
    </row>
    <row r="142" spans="1:7" x14ac:dyDescent="0.2">
      <c r="A142" s="58" t="s">
        <v>449</v>
      </c>
      <c r="B142" s="58">
        <v>12380</v>
      </c>
      <c r="C142" s="58">
        <v>211</v>
      </c>
      <c r="D142" s="58" t="s">
        <v>1309</v>
      </c>
      <c r="E142" s="58">
        <v>40</v>
      </c>
      <c r="F142" s="58" t="s">
        <v>1340</v>
      </c>
    </row>
    <row r="143" spans="1:7" x14ac:dyDescent="0.2">
      <c r="A143" s="58" t="s">
        <v>1343</v>
      </c>
      <c r="B143" s="58">
        <v>12381</v>
      </c>
      <c r="C143" s="58">
        <v>212</v>
      </c>
      <c r="D143" s="58" t="s">
        <v>1311</v>
      </c>
      <c r="F143" s="58" t="s">
        <v>1311</v>
      </c>
      <c r="G143" s="173" t="s">
        <v>1322</v>
      </c>
    </row>
    <row r="144" spans="1:7" x14ac:dyDescent="0.2">
      <c r="A144" s="58" t="s">
        <v>450</v>
      </c>
      <c r="B144" s="58">
        <v>12387</v>
      </c>
      <c r="C144" s="58">
        <v>213</v>
      </c>
      <c r="D144" s="58" t="s">
        <v>1309</v>
      </c>
      <c r="E144" s="58">
        <v>40</v>
      </c>
      <c r="F144" s="58" t="s">
        <v>1340</v>
      </c>
    </row>
    <row r="145" spans="1:7" x14ac:dyDescent="0.2">
      <c r="A145" s="58" t="s">
        <v>451</v>
      </c>
      <c r="B145" s="58">
        <v>12399</v>
      </c>
      <c r="C145" s="58">
        <v>214</v>
      </c>
      <c r="D145" s="58" t="s">
        <v>1311</v>
      </c>
      <c r="F145" s="58" t="s">
        <v>1311</v>
      </c>
      <c r="G145" s="173" t="s">
        <v>1313</v>
      </c>
    </row>
    <row r="146" spans="1:7" x14ac:dyDescent="0.2">
      <c r="A146" s="58" t="s">
        <v>51</v>
      </c>
      <c r="B146" s="58">
        <v>12409</v>
      </c>
      <c r="C146" s="58">
        <v>215</v>
      </c>
      <c r="D146" s="58" t="s">
        <v>1311</v>
      </c>
      <c r="F146" s="58" t="s">
        <v>1311</v>
      </c>
      <c r="G146" s="173" t="s">
        <v>1316</v>
      </c>
    </row>
    <row r="147" spans="1:7" x14ac:dyDescent="0.2">
      <c r="A147" s="58" t="s">
        <v>452</v>
      </c>
      <c r="B147" s="58">
        <v>12431</v>
      </c>
      <c r="C147" s="58">
        <v>216</v>
      </c>
      <c r="D147" s="58" t="s">
        <v>1309</v>
      </c>
      <c r="E147" s="58">
        <v>40</v>
      </c>
      <c r="F147" s="58" t="s">
        <v>1340</v>
      </c>
    </row>
    <row r="148" spans="1:7" x14ac:dyDescent="0.2">
      <c r="A148" s="58" t="s">
        <v>453</v>
      </c>
      <c r="B148" s="58">
        <v>12449</v>
      </c>
      <c r="C148" s="58">
        <v>217</v>
      </c>
      <c r="D148" s="58" t="s">
        <v>1311</v>
      </c>
      <c r="F148" s="58" t="s">
        <v>1311</v>
      </c>
      <c r="G148" s="173" t="s">
        <v>1313</v>
      </c>
    </row>
    <row r="149" spans="1:7" x14ac:dyDescent="0.2">
      <c r="A149" s="58" t="s">
        <v>454</v>
      </c>
      <c r="B149" s="58">
        <v>12451</v>
      </c>
      <c r="C149" s="58">
        <v>218</v>
      </c>
      <c r="D149" s="58" t="s">
        <v>1309</v>
      </c>
      <c r="E149" s="58">
        <v>34</v>
      </c>
      <c r="F149" s="58" t="s">
        <v>44</v>
      </c>
    </row>
    <row r="150" spans="1:7" x14ac:dyDescent="0.2">
      <c r="A150" s="58" t="s">
        <v>455</v>
      </c>
      <c r="B150" s="58">
        <v>12459</v>
      </c>
      <c r="C150" s="58">
        <v>219</v>
      </c>
      <c r="D150" s="58" t="s">
        <v>1311</v>
      </c>
      <c r="F150" s="58" t="s">
        <v>1311</v>
      </c>
      <c r="G150" s="173" t="s">
        <v>1313</v>
      </c>
    </row>
    <row r="151" spans="1:7" x14ac:dyDescent="0.2">
      <c r="A151" s="58" t="s">
        <v>456</v>
      </c>
      <c r="B151" s="58">
        <v>12500</v>
      </c>
      <c r="C151" s="58">
        <v>220</v>
      </c>
      <c r="D151" s="58" t="s">
        <v>1311</v>
      </c>
      <c r="F151" s="58" t="s">
        <v>1311</v>
      </c>
      <c r="G151" s="173" t="s">
        <v>1325</v>
      </c>
    </row>
    <row r="153" spans="1:7" x14ac:dyDescent="0.2">
      <c r="A153" s="172" t="s">
        <v>1344</v>
      </c>
    </row>
    <row r="154" spans="1:7" x14ac:dyDescent="0.2">
      <c r="A154" s="58" t="s">
        <v>6</v>
      </c>
      <c r="B154" s="58">
        <v>13001</v>
      </c>
      <c r="C154" s="58">
        <v>235</v>
      </c>
      <c r="D154" s="58" t="s">
        <v>1345</v>
      </c>
      <c r="E154" s="58">
        <v>5</v>
      </c>
      <c r="F154" s="58" t="s">
        <v>6</v>
      </c>
      <c r="G154" s="58" t="s">
        <v>1346</v>
      </c>
    </row>
    <row r="155" spans="1:7" x14ac:dyDescent="0.2">
      <c r="A155" s="58" t="s">
        <v>466</v>
      </c>
      <c r="B155" s="58">
        <v>13031</v>
      </c>
      <c r="C155" s="58">
        <v>236</v>
      </c>
      <c r="D155" s="58" t="s">
        <v>1311</v>
      </c>
      <c r="F155" s="58" t="s">
        <v>1311</v>
      </c>
      <c r="G155" s="173" t="s">
        <v>1322</v>
      </c>
    </row>
    <row r="156" spans="1:7" x14ac:dyDescent="0.2">
      <c r="A156" s="58" t="s">
        <v>467</v>
      </c>
      <c r="B156" s="58">
        <v>13032</v>
      </c>
      <c r="C156" s="58">
        <v>237</v>
      </c>
      <c r="D156" s="58" t="s">
        <v>1311</v>
      </c>
      <c r="F156" s="58" t="s">
        <v>1311</v>
      </c>
      <c r="G156" s="173" t="s">
        <v>1322</v>
      </c>
    </row>
    <row r="157" spans="1:7" x14ac:dyDescent="0.2">
      <c r="A157" s="58" t="s">
        <v>468</v>
      </c>
      <c r="B157" s="58">
        <v>13049</v>
      </c>
      <c r="C157" s="58">
        <v>238</v>
      </c>
      <c r="D157" s="58" t="s">
        <v>1345</v>
      </c>
      <c r="E157" s="58">
        <v>5</v>
      </c>
      <c r="F157" s="58" t="s">
        <v>6</v>
      </c>
    </row>
    <row r="158" spans="1:7" x14ac:dyDescent="0.2">
      <c r="A158" s="58" t="s">
        <v>7</v>
      </c>
      <c r="B158" s="58">
        <v>13051</v>
      </c>
      <c r="C158" s="58">
        <v>239</v>
      </c>
      <c r="D158" s="58" t="s">
        <v>1345</v>
      </c>
      <c r="E158" s="58">
        <v>6</v>
      </c>
      <c r="F158" s="58" t="s">
        <v>7</v>
      </c>
    </row>
    <row r="159" spans="1:7" x14ac:dyDescent="0.2">
      <c r="A159" s="58" t="s">
        <v>469</v>
      </c>
      <c r="B159" s="58">
        <v>13052</v>
      </c>
      <c r="C159" s="58">
        <v>240</v>
      </c>
      <c r="D159" s="58" t="s">
        <v>1345</v>
      </c>
      <c r="E159" s="58">
        <v>6</v>
      </c>
      <c r="F159" s="58" t="s">
        <v>7</v>
      </c>
      <c r="G159" s="58" t="s">
        <v>1347</v>
      </c>
    </row>
    <row r="160" spans="1:7" x14ac:dyDescent="0.2">
      <c r="A160" s="58" t="s">
        <v>1348</v>
      </c>
      <c r="B160" s="58">
        <v>13053</v>
      </c>
      <c r="C160" s="58">
        <v>241</v>
      </c>
      <c r="D160" s="58" t="s">
        <v>1311</v>
      </c>
      <c r="F160" s="58" t="s">
        <v>1311</v>
      </c>
      <c r="G160" s="173" t="s">
        <v>1322</v>
      </c>
    </row>
    <row r="161" spans="1:7" x14ac:dyDescent="0.2">
      <c r="A161" s="58" t="s">
        <v>54</v>
      </c>
      <c r="B161" s="58">
        <v>13059</v>
      </c>
      <c r="C161" s="58">
        <v>242</v>
      </c>
      <c r="D161" s="58" t="s">
        <v>1311</v>
      </c>
      <c r="F161" s="58" t="s">
        <v>1311</v>
      </c>
      <c r="G161" s="173" t="s">
        <v>1325</v>
      </c>
    </row>
    <row r="162" spans="1:7" x14ac:dyDescent="0.2">
      <c r="A162" s="58" t="s">
        <v>471</v>
      </c>
      <c r="B162" s="58">
        <v>13071</v>
      </c>
      <c r="C162" s="58">
        <v>243</v>
      </c>
      <c r="D162" s="58" t="s">
        <v>1345</v>
      </c>
      <c r="E162" s="58">
        <v>8</v>
      </c>
      <c r="F162" s="58" t="s">
        <v>8</v>
      </c>
    </row>
    <row r="163" spans="1:7" x14ac:dyDescent="0.2">
      <c r="A163" s="58" t="s">
        <v>472</v>
      </c>
      <c r="B163" s="58">
        <v>13072</v>
      </c>
      <c r="C163" s="58">
        <v>244</v>
      </c>
      <c r="D163" s="58" t="s">
        <v>1345</v>
      </c>
      <c r="E163" s="58">
        <v>8</v>
      </c>
      <c r="F163" s="58" t="s">
        <v>8</v>
      </c>
    </row>
    <row r="164" spans="1:7" x14ac:dyDescent="0.2">
      <c r="A164" s="58" t="s">
        <v>8</v>
      </c>
      <c r="B164" s="58">
        <v>13089</v>
      </c>
      <c r="C164" s="58">
        <v>245</v>
      </c>
      <c r="D164" s="58" t="s">
        <v>1345</v>
      </c>
      <c r="E164" s="58">
        <v>8</v>
      </c>
      <c r="F164" s="58" t="s">
        <v>8</v>
      </c>
      <c r="G164" s="58" t="s">
        <v>1349</v>
      </c>
    </row>
    <row r="165" spans="1:7" x14ac:dyDescent="0.2">
      <c r="A165" s="58" t="s">
        <v>473</v>
      </c>
      <c r="B165" s="58">
        <v>13099</v>
      </c>
      <c r="C165" s="58">
        <v>246</v>
      </c>
      <c r="D165" s="58" t="s">
        <v>1311</v>
      </c>
      <c r="F165" s="58" t="s">
        <v>1311</v>
      </c>
      <c r="G165" s="173" t="s">
        <v>1325</v>
      </c>
    </row>
    <row r="166" spans="1:7" x14ac:dyDescent="0.2">
      <c r="A166" s="58" t="s">
        <v>1350</v>
      </c>
      <c r="B166" s="58" t="s">
        <v>1351</v>
      </c>
      <c r="C166" s="58" t="s">
        <v>1352</v>
      </c>
      <c r="D166" s="58" t="s">
        <v>1345</v>
      </c>
      <c r="E166" s="58">
        <v>17</v>
      </c>
      <c r="F166" s="58" t="s">
        <v>17</v>
      </c>
      <c r="G166" s="58" t="s">
        <v>1353</v>
      </c>
    </row>
    <row r="167" spans="1:7" x14ac:dyDescent="0.2">
      <c r="A167" s="58" t="s">
        <v>313</v>
      </c>
      <c r="B167" s="58">
        <v>13139</v>
      </c>
      <c r="C167" s="58">
        <v>255</v>
      </c>
      <c r="D167" s="58" t="s">
        <v>1311</v>
      </c>
      <c r="F167" s="58" t="s">
        <v>1311</v>
      </c>
      <c r="G167" s="173" t="s">
        <v>1325</v>
      </c>
    </row>
    <row r="168" spans="1:7" x14ac:dyDescent="0.2">
      <c r="A168" s="58" t="s">
        <v>482</v>
      </c>
      <c r="B168" s="58">
        <v>13161</v>
      </c>
      <c r="C168" s="58">
        <v>256</v>
      </c>
      <c r="D168" s="58" t="s">
        <v>1345</v>
      </c>
      <c r="E168" s="58">
        <v>11</v>
      </c>
      <c r="F168" s="58" t="s">
        <v>11</v>
      </c>
    </row>
    <row r="169" spans="1:7" x14ac:dyDescent="0.2">
      <c r="A169" s="58" t="s">
        <v>483</v>
      </c>
      <c r="B169" s="58">
        <v>13162</v>
      </c>
      <c r="C169" s="58">
        <v>257</v>
      </c>
      <c r="D169" s="58" t="s">
        <v>1345</v>
      </c>
      <c r="E169" s="58">
        <v>11</v>
      </c>
      <c r="F169" s="58" t="s">
        <v>11</v>
      </c>
    </row>
    <row r="170" spans="1:7" x14ac:dyDescent="0.2">
      <c r="A170" s="58" t="s">
        <v>484</v>
      </c>
      <c r="B170" s="58">
        <v>13163</v>
      </c>
      <c r="C170" s="58">
        <v>258</v>
      </c>
      <c r="D170" s="58" t="s">
        <v>1345</v>
      </c>
      <c r="E170" s="58">
        <v>11</v>
      </c>
      <c r="F170" s="58" t="s">
        <v>11</v>
      </c>
    </row>
    <row r="171" spans="1:7" x14ac:dyDescent="0.2">
      <c r="A171" s="58" t="s">
        <v>485</v>
      </c>
      <c r="B171" s="58">
        <v>13164</v>
      </c>
      <c r="C171" s="58">
        <v>259</v>
      </c>
      <c r="D171" s="58" t="s">
        <v>1345</v>
      </c>
      <c r="E171" s="58">
        <v>11</v>
      </c>
      <c r="F171" s="58" t="s">
        <v>11</v>
      </c>
    </row>
    <row r="172" spans="1:7" x14ac:dyDescent="0.2">
      <c r="A172" s="58" t="s">
        <v>11</v>
      </c>
      <c r="B172" s="58">
        <v>13179</v>
      </c>
      <c r="C172" s="58">
        <v>260</v>
      </c>
      <c r="D172" s="58" t="s">
        <v>1345</v>
      </c>
      <c r="E172" s="58">
        <v>11</v>
      </c>
      <c r="F172" s="58" t="s">
        <v>11</v>
      </c>
      <c r="G172" s="58" t="s">
        <v>1354</v>
      </c>
    </row>
    <row r="173" spans="1:7" x14ac:dyDescent="0.2">
      <c r="A173" s="58" t="s">
        <v>486</v>
      </c>
      <c r="B173" s="58">
        <v>13181</v>
      </c>
      <c r="C173" s="58">
        <v>261</v>
      </c>
      <c r="D173" s="58" t="s">
        <v>1345</v>
      </c>
      <c r="E173" s="58">
        <v>18</v>
      </c>
      <c r="F173" s="58" t="s">
        <v>18</v>
      </c>
    </row>
    <row r="174" spans="1:7" x14ac:dyDescent="0.2">
      <c r="A174" s="58" t="s">
        <v>1355</v>
      </c>
      <c r="B174" s="58">
        <v>13182</v>
      </c>
      <c r="C174" s="58">
        <v>262</v>
      </c>
      <c r="D174" s="58" t="s">
        <v>1345</v>
      </c>
      <c r="E174" s="58">
        <v>18</v>
      </c>
      <c r="F174" s="58" t="s">
        <v>18</v>
      </c>
    </row>
    <row r="175" spans="1:7" x14ac:dyDescent="0.2">
      <c r="A175" s="58" t="s">
        <v>488</v>
      </c>
      <c r="B175" s="58">
        <v>13183</v>
      </c>
      <c r="C175" s="58">
        <v>263</v>
      </c>
      <c r="D175" s="58" t="s">
        <v>1345</v>
      </c>
      <c r="E175" s="58">
        <v>18</v>
      </c>
      <c r="F175" s="58" t="s">
        <v>18</v>
      </c>
    </row>
    <row r="176" spans="1:7" x14ac:dyDescent="0.2">
      <c r="A176" s="58" t="s">
        <v>1356</v>
      </c>
      <c r="B176" s="58">
        <v>13199</v>
      </c>
      <c r="C176" s="58">
        <v>264</v>
      </c>
      <c r="D176" s="58" t="s">
        <v>1345</v>
      </c>
      <c r="E176" s="58">
        <v>18</v>
      </c>
      <c r="F176" s="58" t="s">
        <v>18</v>
      </c>
      <c r="G176" s="58" t="s">
        <v>1354</v>
      </c>
    </row>
    <row r="177" spans="1:7" x14ac:dyDescent="0.2">
      <c r="A177" s="58" t="s">
        <v>490</v>
      </c>
      <c r="B177" s="58">
        <v>13201</v>
      </c>
      <c r="C177" s="58">
        <v>265</v>
      </c>
      <c r="D177" s="58" t="s">
        <v>1345</v>
      </c>
      <c r="E177" s="58">
        <v>17</v>
      </c>
      <c r="F177" s="58" t="s">
        <v>17</v>
      </c>
    </row>
    <row r="178" spans="1:7" x14ac:dyDescent="0.2">
      <c r="A178" s="58" t="s">
        <v>491</v>
      </c>
      <c r="B178" s="58">
        <v>13203</v>
      </c>
      <c r="C178" s="58">
        <v>266</v>
      </c>
      <c r="D178" s="58" t="s">
        <v>1345</v>
      </c>
      <c r="E178" s="58">
        <v>17</v>
      </c>
      <c r="F178" s="58" t="s">
        <v>17</v>
      </c>
    </row>
    <row r="179" spans="1:7" x14ac:dyDescent="0.2">
      <c r="A179" s="58" t="s">
        <v>492</v>
      </c>
      <c r="B179" s="58">
        <v>13204</v>
      </c>
      <c r="C179" s="58">
        <v>267</v>
      </c>
      <c r="D179" s="58" t="s">
        <v>1345</v>
      </c>
      <c r="E179" s="58">
        <v>17</v>
      </c>
      <c r="F179" s="58" t="s">
        <v>17</v>
      </c>
      <c r="G179" s="58" t="s">
        <v>1357</v>
      </c>
    </row>
    <row r="180" spans="1:7" x14ac:dyDescent="0.2">
      <c r="A180" s="58" t="s">
        <v>1358</v>
      </c>
      <c r="B180" s="58">
        <v>13205</v>
      </c>
      <c r="C180" s="58">
        <v>268</v>
      </c>
      <c r="D180" s="58" t="s">
        <v>1345</v>
      </c>
      <c r="E180" s="58">
        <v>12</v>
      </c>
      <c r="F180" s="58" t="s">
        <v>12</v>
      </c>
      <c r="G180" s="58" t="s">
        <v>1359</v>
      </c>
    </row>
    <row r="181" spans="1:7" x14ac:dyDescent="0.2">
      <c r="A181" s="58" t="s">
        <v>1360</v>
      </c>
      <c r="B181" s="58">
        <v>13206</v>
      </c>
      <c r="C181" s="58">
        <v>269</v>
      </c>
      <c r="D181" s="58" t="s">
        <v>1345</v>
      </c>
      <c r="E181" s="58">
        <v>17</v>
      </c>
      <c r="F181" s="58" t="s">
        <v>17</v>
      </c>
      <c r="G181" s="58" t="s">
        <v>1361</v>
      </c>
    </row>
    <row r="182" spans="1:7" x14ac:dyDescent="0.2">
      <c r="A182" s="58" t="s">
        <v>495</v>
      </c>
      <c r="B182" s="58">
        <v>13207</v>
      </c>
      <c r="C182" s="58">
        <v>270</v>
      </c>
      <c r="D182" s="58" t="s">
        <v>1345</v>
      </c>
      <c r="E182" s="58">
        <v>13</v>
      </c>
      <c r="F182" s="58" t="s">
        <v>13</v>
      </c>
      <c r="G182" s="58" t="s">
        <v>1362</v>
      </c>
    </row>
    <row r="183" spans="1:7" x14ac:dyDescent="0.2">
      <c r="A183" s="58" t="s">
        <v>496</v>
      </c>
      <c r="B183" s="58">
        <v>13208</v>
      </c>
      <c r="C183" s="58">
        <v>271</v>
      </c>
      <c r="D183" s="58" t="s">
        <v>1345</v>
      </c>
      <c r="E183" s="58">
        <v>16</v>
      </c>
      <c r="F183" s="58" t="s">
        <v>1311</v>
      </c>
      <c r="G183" s="173" t="s">
        <v>1363</v>
      </c>
    </row>
    <row r="184" spans="1:7" x14ac:dyDescent="0.2">
      <c r="A184" s="58" t="s">
        <v>497</v>
      </c>
      <c r="B184" s="58">
        <v>13210</v>
      </c>
      <c r="C184" s="58">
        <v>272</v>
      </c>
      <c r="D184" s="58" t="s">
        <v>1345</v>
      </c>
      <c r="E184" s="58">
        <v>15</v>
      </c>
      <c r="F184" s="58" t="s">
        <v>15</v>
      </c>
      <c r="G184" s="58" t="s">
        <v>1362</v>
      </c>
    </row>
    <row r="185" spans="1:7" x14ac:dyDescent="0.2">
      <c r="A185" s="58" t="s">
        <v>498</v>
      </c>
      <c r="B185" s="58">
        <v>13211</v>
      </c>
      <c r="C185" s="58">
        <v>273</v>
      </c>
      <c r="D185" s="58">
        <v>16</v>
      </c>
      <c r="E185" s="58">
        <v>16</v>
      </c>
      <c r="F185" s="58" t="s">
        <v>16</v>
      </c>
      <c r="G185" s="58" t="s">
        <v>1362</v>
      </c>
    </row>
    <row r="186" spans="1:7" x14ac:dyDescent="0.2">
      <c r="A186" s="58" t="s">
        <v>499</v>
      </c>
      <c r="B186" s="58">
        <v>13212</v>
      </c>
      <c r="C186" s="58">
        <v>274</v>
      </c>
      <c r="D186" s="58" t="s">
        <v>1311</v>
      </c>
      <c r="F186" s="58" t="s">
        <v>1311</v>
      </c>
      <c r="G186" s="173" t="s">
        <v>1363</v>
      </c>
    </row>
    <row r="187" spans="1:7" x14ac:dyDescent="0.2">
      <c r="A187" s="58" t="s">
        <v>500</v>
      </c>
      <c r="B187" s="58">
        <v>13213</v>
      </c>
      <c r="C187" s="58">
        <v>275</v>
      </c>
      <c r="D187" s="58" t="s">
        <v>1345</v>
      </c>
      <c r="E187" s="58">
        <v>14</v>
      </c>
      <c r="F187" s="58" t="s">
        <v>1364</v>
      </c>
      <c r="G187" s="58" t="s">
        <v>1362</v>
      </c>
    </row>
    <row r="188" spans="1:7" x14ac:dyDescent="0.2">
      <c r="A188" s="58" t="s">
        <v>501</v>
      </c>
      <c r="B188" s="58">
        <v>13214</v>
      </c>
      <c r="C188" s="58">
        <v>276</v>
      </c>
      <c r="D188" s="58" t="s">
        <v>1311</v>
      </c>
      <c r="F188" s="58" t="s">
        <v>1311</v>
      </c>
      <c r="G188" s="173" t="s">
        <v>1363</v>
      </c>
    </row>
    <row r="189" spans="1:7" x14ac:dyDescent="0.2">
      <c r="A189" s="58" t="s">
        <v>1365</v>
      </c>
      <c r="B189" s="58">
        <v>13215</v>
      </c>
      <c r="C189" s="58">
        <v>277</v>
      </c>
      <c r="D189" s="58" t="s">
        <v>1311</v>
      </c>
      <c r="F189" s="58" t="s">
        <v>1311</v>
      </c>
      <c r="G189" s="173" t="s">
        <v>1363</v>
      </c>
    </row>
    <row r="190" spans="1:7" x14ac:dyDescent="0.2">
      <c r="A190" s="58" t="s">
        <v>503</v>
      </c>
      <c r="B190" s="58">
        <v>13223</v>
      </c>
      <c r="C190" s="58">
        <v>278</v>
      </c>
      <c r="D190" s="58" t="s">
        <v>1345</v>
      </c>
      <c r="E190" s="58">
        <v>17</v>
      </c>
      <c r="F190" s="58" t="s">
        <v>17</v>
      </c>
    </row>
    <row r="191" spans="1:7" x14ac:dyDescent="0.2">
      <c r="A191" s="58" t="s">
        <v>504</v>
      </c>
      <c r="B191" s="58">
        <v>13224</v>
      </c>
      <c r="C191" s="58">
        <v>279</v>
      </c>
      <c r="D191" s="58" t="s">
        <v>1345</v>
      </c>
      <c r="E191" s="58">
        <v>17</v>
      </c>
      <c r="F191" s="58" t="s">
        <v>17</v>
      </c>
    </row>
    <row r="192" spans="1:7" x14ac:dyDescent="0.2">
      <c r="A192" s="58" t="s">
        <v>505</v>
      </c>
      <c r="B192" s="58">
        <v>13239</v>
      </c>
      <c r="C192" s="58">
        <v>280</v>
      </c>
      <c r="D192" s="58" t="s">
        <v>1311</v>
      </c>
      <c r="F192" s="58" t="s">
        <v>1311</v>
      </c>
      <c r="G192" s="173" t="s">
        <v>1313</v>
      </c>
    </row>
    <row r="193" spans="1:7" x14ac:dyDescent="0.2">
      <c r="A193" s="58" t="s">
        <v>314</v>
      </c>
      <c r="B193" s="58">
        <v>13249</v>
      </c>
      <c r="C193" s="58">
        <v>281</v>
      </c>
      <c r="D193" s="58" t="s">
        <v>1345</v>
      </c>
      <c r="E193" s="58">
        <v>19</v>
      </c>
      <c r="F193" s="58" t="s">
        <v>19</v>
      </c>
      <c r="G193" s="173" t="s">
        <v>1366</v>
      </c>
    </row>
    <row r="194" spans="1:7" x14ac:dyDescent="0.2">
      <c r="A194" s="58" t="s">
        <v>506</v>
      </c>
      <c r="B194" s="58">
        <v>13251</v>
      </c>
      <c r="C194" s="58">
        <v>282</v>
      </c>
      <c r="D194" s="58" t="s">
        <v>1345</v>
      </c>
      <c r="E194" s="58">
        <v>21</v>
      </c>
      <c r="F194" s="58" t="s">
        <v>20</v>
      </c>
    </row>
    <row r="195" spans="1:7" x14ac:dyDescent="0.2">
      <c r="A195" s="58" t="s">
        <v>507</v>
      </c>
      <c r="B195" s="58">
        <v>13252</v>
      </c>
      <c r="C195" s="58">
        <v>283</v>
      </c>
      <c r="D195" s="58" t="s">
        <v>1311</v>
      </c>
      <c r="F195" s="58" t="s">
        <v>1311</v>
      </c>
      <c r="G195" s="173" t="s">
        <v>1322</v>
      </c>
    </row>
    <row r="196" spans="1:7" x14ac:dyDescent="0.2">
      <c r="A196" s="58" t="s">
        <v>508</v>
      </c>
      <c r="B196" s="58">
        <v>13253</v>
      </c>
      <c r="C196" s="58">
        <v>284</v>
      </c>
      <c r="D196" s="58" t="s">
        <v>1345</v>
      </c>
      <c r="E196" s="58">
        <v>22</v>
      </c>
      <c r="F196" s="58" t="s">
        <v>22</v>
      </c>
    </row>
    <row r="197" spans="1:7" x14ac:dyDescent="0.2">
      <c r="A197" s="58" t="s">
        <v>509</v>
      </c>
      <c r="B197" s="58">
        <v>13254</v>
      </c>
      <c r="C197" s="58">
        <v>285</v>
      </c>
      <c r="D197" s="58" t="s">
        <v>1311</v>
      </c>
      <c r="F197" s="58" t="s">
        <v>1311</v>
      </c>
      <c r="G197" s="173" t="s">
        <v>1322</v>
      </c>
    </row>
    <row r="198" spans="1:7" x14ac:dyDescent="0.2">
      <c r="A198" s="58" t="s">
        <v>510</v>
      </c>
      <c r="B198" s="58">
        <v>13255</v>
      </c>
      <c r="C198" s="58">
        <v>286</v>
      </c>
      <c r="D198" s="58" t="s">
        <v>1345</v>
      </c>
      <c r="E198" s="58">
        <v>22</v>
      </c>
      <c r="F198" s="58" t="s">
        <v>22</v>
      </c>
    </row>
    <row r="199" spans="1:7" x14ac:dyDescent="0.2">
      <c r="A199" s="58" t="s">
        <v>511</v>
      </c>
      <c r="B199" s="58">
        <v>13269</v>
      </c>
      <c r="C199" s="58">
        <v>287</v>
      </c>
      <c r="D199" s="58" t="s">
        <v>1311</v>
      </c>
      <c r="F199" s="58" t="s">
        <v>1311</v>
      </c>
      <c r="G199" s="173" t="s">
        <v>1367</v>
      </c>
    </row>
    <row r="200" spans="1:7" x14ac:dyDescent="0.2">
      <c r="A200" s="58" t="s">
        <v>512</v>
      </c>
      <c r="B200" s="58">
        <v>13279</v>
      </c>
      <c r="C200" s="58">
        <v>288</v>
      </c>
      <c r="D200" s="58" t="s">
        <v>1311</v>
      </c>
      <c r="F200" s="58" t="s">
        <v>1311</v>
      </c>
      <c r="G200" s="173" t="s">
        <v>1316</v>
      </c>
    </row>
    <row r="201" spans="1:7" x14ac:dyDescent="0.2">
      <c r="A201" s="58" t="s">
        <v>1368</v>
      </c>
      <c r="B201" s="58" t="s">
        <v>1369</v>
      </c>
      <c r="C201" s="58" t="s">
        <v>1370</v>
      </c>
      <c r="D201" s="58" t="s">
        <v>1311</v>
      </c>
      <c r="E201" s="58" t="s">
        <v>1311</v>
      </c>
      <c r="F201" s="58" t="s">
        <v>1311</v>
      </c>
      <c r="G201" s="173" t="s">
        <v>1371</v>
      </c>
    </row>
    <row r="202" spans="1:7" x14ac:dyDescent="0.2">
      <c r="A202" s="58" t="s">
        <v>1372</v>
      </c>
      <c r="B202" s="58" t="s">
        <v>1373</v>
      </c>
      <c r="C202" s="58" t="s">
        <v>1374</v>
      </c>
      <c r="D202" s="58" t="s">
        <v>1311</v>
      </c>
      <c r="E202" s="58" t="s">
        <v>1311</v>
      </c>
      <c r="F202" s="58" t="s">
        <v>1311</v>
      </c>
      <c r="G202" s="173" t="s">
        <v>1375</v>
      </c>
    </row>
    <row r="203" spans="1:7" x14ac:dyDescent="0.2">
      <c r="A203" s="58" t="s">
        <v>551</v>
      </c>
      <c r="B203" s="58">
        <v>13529</v>
      </c>
      <c r="C203" s="58">
        <v>329</v>
      </c>
      <c r="D203" s="58" t="s">
        <v>1311</v>
      </c>
      <c r="E203" s="58" t="s">
        <v>1311</v>
      </c>
      <c r="F203" s="58" t="s">
        <v>1311</v>
      </c>
      <c r="G203" s="173" t="s">
        <v>1376</v>
      </c>
    </row>
    <row r="204" spans="1:7" x14ac:dyDescent="0.2">
      <c r="A204" s="58" t="s">
        <v>552</v>
      </c>
      <c r="B204" s="58">
        <v>13539</v>
      </c>
      <c r="C204" s="58">
        <v>330</v>
      </c>
      <c r="D204" s="58" t="s">
        <v>1311</v>
      </c>
      <c r="E204" s="58" t="s">
        <v>1311</v>
      </c>
      <c r="F204" s="58" t="s">
        <v>1377</v>
      </c>
      <c r="G204" s="173" t="s">
        <v>1378</v>
      </c>
    </row>
    <row r="205" spans="1:7" x14ac:dyDescent="0.2">
      <c r="A205" s="58" t="s">
        <v>553</v>
      </c>
      <c r="B205" s="58">
        <v>13541</v>
      </c>
      <c r="C205" s="58">
        <v>331</v>
      </c>
      <c r="D205" s="58" t="s">
        <v>1345</v>
      </c>
      <c r="E205" s="58">
        <v>27</v>
      </c>
      <c r="F205" s="58" t="s">
        <v>23</v>
      </c>
    </row>
    <row r="206" spans="1:7" x14ac:dyDescent="0.2">
      <c r="A206" s="58" t="s">
        <v>1379</v>
      </c>
      <c r="B206" s="58">
        <v>13542</v>
      </c>
      <c r="C206" s="58">
        <v>332</v>
      </c>
      <c r="D206" s="58" t="s">
        <v>1311</v>
      </c>
      <c r="F206" s="58" t="s">
        <v>1311</v>
      </c>
      <c r="G206" s="173" t="s">
        <v>1322</v>
      </c>
    </row>
    <row r="207" spans="1:7" x14ac:dyDescent="0.2">
      <c r="A207" s="58" t="s">
        <v>315</v>
      </c>
      <c r="B207" s="58">
        <v>13549</v>
      </c>
      <c r="C207" s="58">
        <v>333</v>
      </c>
      <c r="D207" s="58" t="s">
        <v>1311</v>
      </c>
      <c r="E207" s="58" t="s">
        <v>1311</v>
      </c>
      <c r="F207" s="58" t="s">
        <v>1380</v>
      </c>
      <c r="G207" s="173" t="s">
        <v>1381</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64D09-2B83-4D0D-AF34-F677A99298A2}">
  <sheetPr>
    <tabColor rgb="FFFFFF99"/>
  </sheetPr>
  <dimension ref="A1:R50"/>
  <sheetViews>
    <sheetView showGridLines="0" zoomScaleNormal="100" workbookViewId="0">
      <pane ySplit="3" topLeftCell="A4" activePane="bottomLeft" state="frozen"/>
      <selection activeCell="W24" sqref="W24"/>
      <selection pane="bottomLeft" activeCell="W24" sqref="W24"/>
    </sheetView>
  </sheetViews>
  <sheetFormatPr baseColWidth="10" defaultRowHeight="15" x14ac:dyDescent="0.2"/>
  <cols>
    <col min="1" max="1" width="65.1640625" customWidth="1"/>
    <col min="10" max="10" width="3.33203125" customWidth="1"/>
    <col min="11" max="11" width="11.5" style="41"/>
  </cols>
  <sheetData>
    <row r="1" spans="1:18" ht="45" x14ac:dyDescent="0.45">
      <c r="A1" s="4" t="str">
        <f>Controls!A1</f>
        <v>Forecast: Kundennamen</v>
      </c>
    </row>
    <row r="2" spans="1:18" x14ac:dyDescent="0.2">
      <c r="A2" s="5" t="str" cm="1">
        <f t="array" aca="1" ref="A2" ca="1">MID(CELL("dateiname",A1),SEARCH("]",CELL("dateiname",A1))+1,31)</f>
        <v>Input (Annahmen)</v>
      </c>
    </row>
    <row r="3" spans="1:18" s="6" customFormat="1" ht="16" thickBot="1" x14ac:dyDescent="0.25">
      <c r="A3" s="6" t="s">
        <v>5</v>
      </c>
      <c r="B3" s="19">
        <f>Controls!B7</f>
        <v>45291</v>
      </c>
      <c r="C3" s="7">
        <f t="shared" ref="C3:I3" si="0">DATE(YEAR(B3)+1,MONTH(B3),DAY(B3))</f>
        <v>45657</v>
      </c>
      <c r="D3" s="8">
        <f t="shared" si="0"/>
        <v>46022</v>
      </c>
      <c r="E3" s="8">
        <f t="shared" si="0"/>
        <v>46387</v>
      </c>
      <c r="F3" s="8">
        <f t="shared" si="0"/>
        <v>46752</v>
      </c>
      <c r="G3" s="8">
        <f t="shared" si="0"/>
        <v>47118</v>
      </c>
      <c r="H3" s="8">
        <f t="shared" si="0"/>
        <v>47483</v>
      </c>
      <c r="I3" s="8">
        <f t="shared" si="0"/>
        <v>47848</v>
      </c>
      <c r="K3" s="6" t="s">
        <v>215</v>
      </c>
    </row>
    <row r="5" spans="1:18" s="5" customFormat="1" x14ac:dyDescent="0.2">
      <c r="A5" s="5" t="s">
        <v>53</v>
      </c>
      <c r="K5" s="42"/>
    </row>
    <row r="6" spans="1:18" x14ac:dyDescent="0.2">
      <c r="A6" t="s">
        <v>73</v>
      </c>
      <c r="B6" s="11"/>
      <c r="C6" s="11">
        <f>GuV!C7/GuV!B7-1</f>
        <v>5.7664801385159947E-2</v>
      </c>
      <c r="D6" s="12">
        <v>0.05</v>
      </c>
      <c r="E6" s="12">
        <v>0.05</v>
      </c>
      <c r="F6" s="12">
        <v>0.05</v>
      </c>
      <c r="G6" s="12">
        <v>0.05</v>
      </c>
      <c r="H6" s="12">
        <v>0.05</v>
      </c>
      <c r="I6" s="12">
        <v>0.05</v>
      </c>
      <c r="K6" s="54" t="s">
        <v>219</v>
      </c>
      <c r="L6" s="55"/>
      <c r="M6" s="55"/>
      <c r="N6" s="55"/>
      <c r="O6" s="55"/>
      <c r="P6" s="55"/>
      <c r="Q6" s="55"/>
      <c r="R6" s="56"/>
    </row>
    <row r="7" spans="1:18" x14ac:dyDescent="0.2">
      <c r="A7" t="s">
        <v>74</v>
      </c>
      <c r="B7" s="11">
        <f>GuV!B8/GuV!B7</f>
        <v>-0.31600210785174776</v>
      </c>
      <c r="C7" s="11">
        <f>GuV!C8/GuV!C7</f>
        <v>-0.25217680134760018</v>
      </c>
      <c r="D7" s="12">
        <v>-0.3</v>
      </c>
      <c r="E7" s="12">
        <v>-0.28999999999999998</v>
      </c>
      <c r="F7" s="12">
        <v>-0.28999999999999998</v>
      </c>
      <c r="G7" s="12">
        <v>-0.28999999999999998</v>
      </c>
      <c r="H7" s="12">
        <f t="shared" ref="H7:I7" si="1">G7</f>
        <v>-0.28999999999999998</v>
      </c>
      <c r="I7" s="12">
        <f t="shared" si="1"/>
        <v>-0.28999999999999998</v>
      </c>
      <c r="K7" s="54" t="s">
        <v>220</v>
      </c>
      <c r="L7" s="55"/>
      <c r="M7" s="55"/>
      <c r="N7" s="55"/>
      <c r="O7" s="55"/>
      <c r="P7" s="55"/>
      <c r="Q7" s="55"/>
      <c r="R7" s="56"/>
    </row>
    <row r="8" spans="1:18" x14ac:dyDescent="0.2">
      <c r="A8" t="s">
        <v>55</v>
      </c>
      <c r="B8" s="11">
        <f>GuV!B11/GuV!B7</f>
        <v>-0.30468495144412938</v>
      </c>
      <c r="C8" s="11">
        <f>GuV!C11/GuV!$C$7</f>
        <v>-0.33742200289449331</v>
      </c>
      <c r="D8" s="12">
        <v>-0.32</v>
      </c>
      <c r="E8" s="12">
        <f>D8</f>
        <v>-0.32</v>
      </c>
      <c r="F8" s="12">
        <f>E8</f>
        <v>-0.32</v>
      </c>
      <c r="G8" s="12">
        <f t="shared" ref="G8:I8" si="2">F8</f>
        <v>-0.32</v>
      </c>
      <c r="H8" s="12">
        <f t="shared" si="2"/>
        <v>-0.32</v>
      </c>
      <c r="I8" s="12">
        <f t="shared" si="2"/>
        <v>-0.32</v>
      </c>
      <c r="K8" s="54" t="s">
        <v>233</v>
      </c>
      <c r="L8" s="55"/>
      <c r="M8" s="55"/>
      <c r="N8" s="55"/>
      <c r="O8" s="55"/>
      <c r="P8" s="55"/>
      <c r="Q8" s="55"/>
      <c r="R8" s="56"/>
    </row>
    <row r="9" spans="1:18" x14ac:dyDescent="0.2">
      <c r="A9" t="s">
        <v>62</v>
      </c>
      <c r="B9" s="11">
        <f>GuV!B12/GuV!$B$7</f>
        <v>0</v>
      </c>
      <c r="C9" s="11">
        <f>GuV!C12/GuV!$C$7</f>
        <v>0</v>
      </c>
      <c r="D9" s="12">
        <v>-1.4E-2</v>
      </c>
      <c r="E9" s="12">
        <f t="shared" ref="E9:I15" si="3">D9</f>
        <v>-1.4E-2</v>
      </c>
      <c r="F9" s="12">
        <f t="shared" si="3"/>
        <v>-1.4E-2</v>
      </c>
      <c r="G9" s="12">
        <f t="shared" si="3"/>
        <v>-1.4E-2</v>
      </c>
      <c r="H9" s="12">
        <f t="shared" si="3"/>
        <v>-1.4E-2</v>
      </c>
      <c r="I9" s="12">
        <f t="shared" si="3"/>
        <v>-1.4E-2</v>
      </c>
      <c r="K9" s="54" t="s">
        <v>218</v>
      </c>
      <c r="L9" s="55"/>
      <c r="M9" s="55"/>
      <c r="N9" s="55"/>
      <c r="O9" s="55"/>
      <c r="P9" s="55"/>
      <c r="Q9" s="55"/>
      <c r="R9" s="56"/>
    </row>
    <row r="10" spans="1:18" x14ac:dyDescent="0.2">
      <c r="A10" t="s">
        <v>63</v>
      </c>
      <c r="B10" s="11">
        <f>GuV!B13/GuV!$B$7</f>
        <v>0</v>
      </c>
      <c r="C10" s="11">
        <f>GuV!C13/GuV!$C$7</f>
        <v>0</v>
      </c>
      <c r="D10" s="12">
        <v>-1.2999999999999999E-2</v>
      </c>
      <c r="E10" s="12">
        <f t="shared" si="3"/>
        <v>-1.2999999999999999E-2</v>
      </c>
      <c r="F10" s="12">
        <f t="shared" si="3"/>
        <v>-1.2999999999999999E-2</v>
      </c>
      <c r="G10" s="12">
        <f t="shared" si="3"/>
        <v>-1.2999999999999999E-2</v>
      </c>
      <c r="H10" s="12">
        <f t="shared" si="3"/>
        <v>-1.2999999999999999E-2</v>
      </c>
      <c r="I10" s="12">
        <f t="shared" si="3"/>
        <v>-1.2999999999999999E-2</v>
      </c>
      <c r="K10" s="54"/>
      <c r="L10" s="55"/>
      <c r="M10" s="55"/>
      <c r="N10" s="55"/>
      <c r="O10" s="55"/>
      <c r="P10" s="55"/>
      <c r="Q10" s="55"/>
      <c r="R10" s="56"/>
    </row>
    <row r="11" spans="1:18" x14ac:dyDescent="0.2">
      <c r="A11" t="s">
        <v>64</v>
      </c>
      <c r="B11" s="11">
        <f>GuV!B14/GuV!$B$7</f>
        <v>0</v>
      </c>
      <c r="C11" s="11">
        <f>GuV!C14/GuV!$C$7</f>
        <v>0</v>
      </c>
      <c r="D11" s="12">
        <v>-3.2500000000000001E-2</v>
      </c>
      <c r="E11" s="12">
        <v>-3.2500000000000001E-2</v>
      </c>
      <c r="F11" s="12">
        <f t="shared" si="3"/>
        <v>-3.2500000000000001E-2</v>
      </c>
      <c r="G11" s="12">
        <f t="shared" si="3"/>
        <v>-3.2500000000000001E-2</v>
      </c>
      <c r="H11" s="12">
        <f t="shared" si="3"/>
        <v>-3.2500000000000001E-2</v>
      </c>
      <c r="I11" s="12">
        <f t="shared" si="3"/>
        <v>-3.2500000000000001E-2</v>
      </c>
      <c r="K11" s="54" t="s">
        <v>221</v>
      </c>
      <c r="L11" s="55"/>
      <c r="M11" s="55"/>
      <c r="N11" s="55"/>
      <c r="O11" s="55"/>
      <c r="P11" s="55"/>
      <c r="Q11" s="55"/>
      <c r="R11" s="56"/>
    </row>
    <row r="12" spans="1:18" x14ac:dyDescent="0.2">
      <c r="A12" t="s">
        <v>65</v>
      </c>
      <c r="B12" s="11">
        <f>GuV!B15/GuV!$B$7</f>
        <v>0</v>
      </c>
      <c r="C12" s="11">
        <f>GuV!C15/GuV!$C$7</f>
        <v>0</v>
      </c>
      <c r="D12" s="12">
        <v>-9.7000000000000003E-2</v>
      </c>
      <c r="E12" s="12">
        <f t="shared" si="3"/>
        <v>-9.7000000000000003E-2</v>
      </c>
      <c r="F12" s="12">
        <f t="shared" si="3"/>
        <v>-9.7000000000000003E-2</v>
      </c>
      <c r="G12" s="12">
        <f t="shared" si="3"/>
        <v>-9.7000000000000003E-2</v>
      </c>
      <c r="H12" s="12">
        <f t="shared" si="3"/>
        <v>-9.7000000000000003E-2</v>
      </c>
      <c r="I12" s="12">
        <f t="shared" si="3"/>
        <v>-9.7000000000000003E-2</v>
      </c>
      <c r="K12" s="54" t="s">
        <v>222</v>
      </c>
      <c r="L12" s="55"/>
      <c r="M12" s="55"/>
      <c r="N12" s="55"/>
      <c r="O12" s="55"/>
      <c r="P12" s="55"/>
      <c r="Q12" s="55"/>
      <c r="R12" s="56"/>
    </row>
    <row r="13" spans="1:18" x14ac:dyDescent="0.2">
      <c r="A13" t="s">
        <v>66</v>
      </c>
      <c r="B13" s="11">
        <f>GuV!B16/GuV!$B$7</f>
        <v>0</v>
      </c>
      <c r="C13" s="11">
        <f>GuV!C16/GuV!$C$7</f>
        <v>0</v>
      </c>
      <c r="D13" s="12">
        <v>-8.0000000000000002E-3</v>
      </c>
      <c r="E13" s="12">
        <f t="shared" si="3"/>
        <v>-8.0000000000000002E-3</v>
      </c>
      <c r="F13" s="12">
        <f t="shared" si="3"/>
        <v>-8.0000000000000002E-3</v>
      </c>
      <c r="G13" s="12">
        <f t="shared" si="3"/>
        <v>-8.0000000000000002E-3</v>
      </c>
      <c r="H13" s="12">
        <f t="shared" si="3"/>
        <v>-8.0000000000000002E-3</v>
      </c>
      <c r="I13" s="12">
        <f t="shared" si="3"/>
        <v>-8.0000000000000002E-3</v>
      </c>
      <c r="K13" s="54"/>
      <c r="L13" s="55"/>
      <c r="M13" s="55"/>
      <c r="N13" s="55"/>
      <c r="O13" s="55"/>
      <c r="P13" s="55"/>
      <c r="Q13" s="55"/>
      <c r="R13" s="56"/>
    </row>
    <row r="14" spans="1:18" x14ac:dyDescent="0.2">
      <c r="A14" t="s">
        <v>67</v>
      </c>
      <c r="B14" s="11">
        <f>GuV!B17/GuV!$B$7</f>
        <v>-0.2306592055406389</v>
      </c>
      <c r="C14" s="11">
        <f>GuV!C17/GuV!$C$7</f>
        <v>-0.24766898384303304</v>
      </c>
      <c r="D14" s="12">
        <v>-5.5E-2</v>
      </c>
      <c r="E14" s="12">
        <f t="shared" si="3"/>
        <v>-5.5E-2</v>
      </c>
      <c r="F14" s="12">
        <f t="shared" si="3"/>
        <v>-5.5E-2</v>
      </c>
      <c r="G14" s="12">
        <f t="shared" si="3"/>
        <v>-5.5E-2</v>
      </c>
      <c r="H14" s="12">
        <f t="shared" si="3"/>
        <v>-5.5E-2</v>
      </c>
      <c r="I14" s="12">
        <f t="shared" si="3"/>
        <v>-5.5E-2</v>
      </c>
      <c r="K14" s="54" t="s">
        <v>223</v>
      </c>
      <c r="L14" s="55"/>
      <c r="M14" s="55"/>
      <c r="N14" s="55"/>
      <c r="O14" s="55"/>
      <c r="P14" s="55"/>
      <c r="Q14" s="55"/>
      <c r="R14" s="56"/>
    </row>
    <row r="15" spans="1:18" x14ac:dyDescent="0.2">
      <c r="A15" t="s">
        <v>56</v>
      </c>
      <c r="B15" s="11">
        <f>GuV!B27/GuV!B25</f>
        <v>-0.14999999999999938</v>
      </c>
      <c r="C15" s="11">
        <f>GuV!C27/GuV!C25</f>
        <v>-5.089226701916711E-2</v>
      </c>
      <c r="D15" s="12">
        <v>-0.26100000000000001</v>
      </c>
      <c r="E15" s="12">
        <v>-0.3</v>
      </c>
      <c r="F15" s="12">
        <v>-0.35</v>
      </c>
      <c r="G15" s="12">
        <f t="shared" si="3"/>
        <v>-0.35</v>
      </c>
      <c r="H15" s="12">
        <v>-0.37</v>
      </c>
      <c r="I15" s="12">
        <f t="shared" si="3"/>
        <v>-0.37</v>
      </c>
      <c r="K15" s="54"/>
      <c r="L15" s="55"/>
      <c r="M15" s="55"/>
      <c r="N15" s="55"/>
      <c r="O15" s="55"/>
      <c r="P15" s="55"/>
      <c r="Q15" s="55"/>
      <c r="R15" s="56"/>
    </row>
    <row r="16" spans="1:18" x14ac:dyDescent="0.2">
      <c r="A16" t="s">
        <v>68</v>
      </c>
      <c r="B16" s="11"/>
      <c r="C16" s="11"/>
      <c r="D16" s="12"/>
      <c r="E16" s="12"/>
      <c r="F16" s="12"/>
      <c r="G16" s="12"/>
      <c r="H16" s="12"/>
      <c r="I16" s="12"/>
      <c r="K16" s="54"/>
      <c r="L16" s="55"/>
      <c r="M16" s="55"/>
      <c r="N16" s="55"/>
      <c r="O16" s="55"/>
      <c r="P16" s="55"/>
      <c r="Q16" s="55"/>
      <c r="R16" s="56"/>
    </row>
    <row r="19" spans="1:18" s="5" customFormat="1" x14ac:dyDescent="0.2">
      <c r="A19" s="5" t="s">
        <v>57</v>
      </c>
      <c r="K19" s="42"/>
    </row>
    <row r="20" spans="1:18" x14ac:dyDescent="0.2">
      <c r="A20" t="s">
        <v>29</v>
      </c>
      <c r="B20" s="2">
        <f>Bilanz!B9</f>
        <v>0</v>
      </c>
      <c r="C20" s="2">
        <f>Bilanz!C9</f>
        <v>0</v>
      </c>
      <c r="D20" s="3">
        <v>0</v>
      </c>
      <c r="E20" s="3">
        <f>D20</f>
        <v>0</v>
      </c>
      <c r="F20" s="3">
        <f t="shared" ref="F20:I20" si="4">E20</f>
        <v>0</v>
      </c>
      <c r="G20" s="3">
        <f t="shared" si="4"/>
        <v>0</v>
      </c>
      <c r="H20" s="3">
        <f t="shared" si="4"/>
        <v>0</v>
      </c>
      <c r="I20" s="3">
        <f t="shared" si="4"/>
        <v>0</v>
      </c>
      <c r="K20" s="54"/>
      <c r="L20" s="55"/>
      <c r="M20" s="55"/>
      <c r="N20" s="55"/>
      <c r="O20" s="55"/>
      <c r="P20" s="55"/>
      <c r="Q20" s="55"/>
      <c r="R20" s="56"/>
    </row>
    <row r="21" spans="1:18" x14ac:dyDescent="0.2">
      <c r="A21" t="s">
        <v>59</v>
      </c>
      <c r="B21" s="2">
        <f>Bilanz!B14</f>
        <v>46.599999999999994</v>
      </c>
      <c r="C21" s="2">
        <f>Bilanz!C14</f>
        <v>115.9</v>
      </c>
      <c r="D21" s="3">
        <f>C21</f>
        <v>115.9</v>
      </c>
      <c r="E21" s="3">
        <f t="shared" ref="E21:I22" si="5">D21</f>
        <v>115.9</v>
      </c>
      <c r="F21" s="3">
        <f t="shared" si="5"/>
        <v>115.9</v>
      </c>
      <c r="G21" s="3">
        <f t="shared" si="5"/>
        <v>115.9</v>
      </c>
      <c r="H21" s="3">
        <f t="shared" si="5"/>
        <v>115.9</v>
      </c>
      <c r="I21" s="3">
        <f t="shared" si="5"/>
        <v>115.9</v>
      </c>
      <c r="K21" s="54"/>
      <c r="L21" s="55"/>
      <c r="M21" s="55"/>
      <c r="N21" s="55"/>
      <c r="O21" s="55"/>
      <c r="P21" s="55"/>
      <c r="Q21" s="55"/>
      <c r="R21" s="56"/>
    </row>
    <row r="22" spans="1:18" x14ac:dyDescent="0.2">
      <c r="A22" t="s">
        <v>60</v>
      </c>
      <c r="B22" s="11">
        <f>Bilanz!B16/GuV!B7</f>
        <v>6.624676921532709E-3</v>
      </c>
      <c r="C22" s="11">
        <f>Bilanz!C16/GuV!C7</f>
        <v>8.1852475740824202E-3</v>
      </c>
      <c r="D22" s="12">
        <v>1.0999999999999999E-2</v>
      </c>
      <c r="E22" s="12">
        <f>D22</f>
        <v>1.0999999999999999E-2</v>
      </c>
      <c r="F22" s="12">
        <f t="shared" si="5"/>
        <v>1.0999999999999999E-2</v>
      </c>
      <c r="G22" s="12">
        <f t="shared" si="5"/>
        <v>1.0999999999999999E-2</v>
      </c>
      <c r="H22" s="12">
        <f t="shared" si="5"/>
        <v>1.0999999999999999E-2</v>
      </c>
      <c r="I22" s="12">
        <f t="shared" si="5"/>
        <v>1.0999999999999999E-2</v>
      </c>
      <c r="K22" s="54"/>
      <c r="L22" s="55"/>
      <c r="M22" s="55"/>
      <c r="N22" s="55"/>
      <c r="O22" s="55"/>
      <c r="P22" s="55"/>
      <c r="Q22" s="55"/>
      <c r="R22" s="56"/>
    </row>
    <row r="23" spans="1:18" x14ac:dyDescent="0.2">
      <c r="A23" t="s">
        <v>38</v>
      </c>
      <c r="B23" s="2">
        <f>Bilanz!B24</f>
        <v>-20.3</v>
      </c>
      <c r="C23" s="2">
        <f>Bilanz!C24</f>
        <v>-41.8</v>
      </c>
      <c r="D23" s="3">
        <f>C23</f>
        <v>-41.8</v>
      </c>
      <c r="E23" s="3">
        <f>D23</f>
        <v>-41.8</v>
      </c>
      <c r="F23" s="3">
        <f t="shared" ref="F23:I23" si="6">E23</f>
        <v>-41.8</v>
      </c>
      <c r="G23" s="3">
        <f t="shared" si="6"/>
        <v>-41.8</v>
      </c>
      <c r="H23" s="3">
        <f t="shared" si="6"/>
        <v>-41.8</v>
      </c>
      <c r="I23" s="3">
        <f t="shared" si="6"/>
        <v>-41.8</v>
      </c>
      <c r="K23" s="54"/>
      <c r="L23" s="55"/>
      <c r="M23" s="55"/>
      <c r="N23" s="55"/>
      <c r="O23" s="55"/>
      <c r="P23" s="55"/>
      <c r="Q23" s="55"/>
      <c r="R23" s="56"/>
    </row>
    <row r="24" spans="1:18" x14ac:dyDescent="0.2">
      <c r="A24" t="s">
        <v>39</v>
      </c>
      <c r="B24" s="2">
        <f>Bilanz!B25</f>
        <v>91.3</v>
      </c>
      <c r="C24" s="2">
        <f>Bilanz!C25</f>
        <v>91.3</v>
      </c>
      <c r="D24" s="3">
        <f>C24</f>
        <v>91.3</v>
      </c>
      <c r="E24" s="3">
        <f t="shared" ref="E24:I26" si="7">D24</f>
        <v>91.3</v>
      </c>
      <c r="F24" s="3">
        <f t="shared" si="7"/>
        <v>91.3</v>
      </c>
      <c r="G24" s="3">
        <f t="shared" si="7"/>
        <v>91.3</v>
      </c>
      <c r="H24" s="3">
        <f t="shared" si="7"/>
        <v>91.3</v>
      </c>
      <c r="I24" s="3">
        <f t="shared" si="7"/>
        <v>91.3</v>
      </c>
      <c r="K24" s="54"/>
      <c r="L24" s="55"/>
      <c r="M24" s="55"/>
      <c r="N24" s="55"/>
      <c r="O24" s="55"/>
      <c r="P24" s="55"/>
      <c r="Q24" s="55"/>
      <c r="R24" s="56"/>
    </row>
    <row r="25" spans="1:18" x14ac:dyDescent="0.2">
      <c r="A25" t="s">
        <v>61</v>
      </c>
      <c r="B25" s="11">
        <f>Bilanz!B32/GuV!B7</f>
        <v>0</v>
      </c>
      <c r="C25" s="11">
        <f>Bilanz!C32/GuV!C7</f>
        <v>0</v>
      </c>
      <c r="D25" s="12">
        <f>AVERAGE(B25:C25)</f>
        <v>0</v>
      </c>
      <c r="E25" s="3">
        <f t="shared" si="7"/>
        <v>0</v>
      </c>
      <c r="F25" s="3">
        <f t="shared" si="7"/>
        <v>0</v>
      </c>
      <c r="G25" s="3">
        <f t="shared" si="7"/>
        <v>0</v>
      </c>
      <c r="H25" s="3">
        <f t="shared" si="7"/>
        <v>0</v>
      </c>
      <c r="I25" s="3">
        <f>H25</f>
        <v>0</v>
      </c>
      <c r="K25" s="54"/>
      <c r="L25" s="55"/>
      <c r="M25" s="55"/>
      <c r="N25" s="55"/>
      <c r="O25" s="55"/>
      <c r="P25" s="55"/>
      <c r="Q25" s="55"/>
      <c r="R25" s="56"/>
    </row>
    <row r="26" spans="1:18" x14ac:dyDescent="0.2">
      <c r="A26" t="s">
        <v>70</v>
      </c>
      <c r="B26" s="2">
        <f>Bilanz!B34</f>
        <v>327.39999999999998</v>
      </c>
      <c r="C26" s="2">
        <f>Bilanz!C34</f>
        <v>823.7</v>
      </c>
      <c r="D26" s="3">
        <f>C26</f>
        <v>823.7</v>
      </c>
      <c r="E26" s="3">
        <f t="shared" si="7"/>
        <v>823.7</v>
      </c>
      <c r="F26" s="3">
        <f t="shared" si="7"/>
        <v>823.7</v>
      </c>
      <c r="G26" s="3">
        <f t="shared" si="7"/>
        <v>823.7</v>
      </c>
      <c r="H26" s="3">
        <f t="shared" si="7"/>
        <v>823.7</v>
      </c>
      <c r="I26" s="3">
        <f t="shared" si="7"/>
        <v>823.7</v>
      </c>
      <c r="K26" s="54"/>
      <c r="L26" s="55"/>
      <c r="M26" s="55"/>
      <c r="N26" s="55"/>
      <c r="O26" s="55"/>
      <c r="P26" s="55"/>
      <c r="Q26" s="55"/>
      <c r="R26" s="56"/>
    </row>
    <row r="27" spans="1:18" x14ac:dyDescent="0.2">
      <c r="A27" t="s">
        <v>69</v>
      </c>
      <c r="B27" s="2">
        <f>Bilanz!B40</f>
        <v>376.5</v>
      </c>
      <c r="C27" s="2">
        <f>Bilanz!C40</f>
        <v>278.39999999999998</v>
      </c>
      <c r="D27" s="3">
        <f>GuV!D7*0.17</f>
        <v>752.3596500000001</v>
      </c>
      <c r="E27" s="3">
        <f>GuV!E7*0.17</f>
        <v>789.97763250000014</v>
      </c>
      <c r="F27" s="3">
        <f>GuV!F7*0.17</f>
        <v>829.47651412500022</v>
      </c>
      <c r="G27" s="3">
        <f>GuV!G7*0.17</f>
        <v>870.95033983125029</v>
      </c>
      <c r="H27" s="3">
        <f>GuV!H7*0.17</f>
        <v>914.49785682281276</v>
      </c>
      <c r="I27" s="3">
        <f>GuV!I7*0.17</f>
        <v>960.22274966395355</v>
      </c>
      <c r="K27" s="54" t="s">
        <v>224</v>
      </c>
      <c r="L27" s="55"/>
      <c r="M27" s="55"/>
      <c r="N27" s="55"/>
      <c r="O27" s="55"/>
      <c r="P27" s="55"/>
      <c r="Q27" s="55"/>
      <c r="R27" s="56"/>
    </row>
    <row r="29" spans="1:18" s="5" customFormat="1" x14ac:dyDescent="0.2">
      <c r="A29" s="5" t="s">
        <v>71</v>
      </c>
      <c r="K29" s="42"/>
    </row>
    <row r="30" spans="1:18" x14ac:dyDescent="0.2">
      <c r="A30" t="s">
        <v>81</v>
      </c>
      <c r="C30" s="11">
        <f>'Side Calcs'!C7/GuV!C7</f>
        <v>6.643099480414718E-4</v>
      </c>
      <c r="D30" s="12">
        <f t="shared" ref="D30" si="8">C30</f>
        <v>6.643099480414718E-4</v>
      </c>
      <c r="E30" s="12">
        <f t="shared" ref="E30:I31" si="9">D30</f>
        <v>6.643099480414718E-4</v>
      </c>
      <c r="F30" s="12">
        <f t="shared" si="9"/>
        <v>6.643099480414718E-4</v>
      </c>
      <c r="G30" s="12">
        <f t="shared" si="9"/>
        <v>6.643099480414718E-4</v>
      </c>
      <c r="H30" s="12">
        <f t="shared" si="9"/>
        <v>6.643099480414718E-4</v>
      </c>
      <c r="I30" s="12">
        <f t="shared" si="9"/>
        <v>6.643099480414718E-4</v>
      </c>
      <c r="K30" s="54"/>
      <c r="L30" s="55"/>
      <c r="M30" s="55"/>
      <c r="N30" s="55"/>
      <c r="O30" s="55"/>
      <c r="P30" s="55"/>
      <c r="Q30" s="55"/>
      <c r="R30" s="56"/>
    </row>
    <row r="31" spans="1:18" x14ac:dyDescent="0.2">
      <c r="A31" t="s">
        <v>80</v>
      </c>
      <c r="C31" s="11"/>
      <c r="D31" s="12">
        <v>0.33</v>
      </c>
      <c r="E31" s="12">
        <f t="shared" si="9"/>
        <v>0.33</v>
      </c>
      <c r="F31" s="12">
        <f t="shared" si="9"/>
        <v>0.33</v>
      </c>
      <c r="G31" s="12">
        <f t="shared" si="9"/>
        <v>0.33</v>
      </c>
      <c r="H31" s="12">
        <f t="shared" si="9"/>
        <v>0.33</v>
      </c>
      <c r="I31" s="12">
        <f t="shared" si="9"/>
        <v>0.33</v>
      </c>
      <c r="K31" s="54"/>
      <c r="L31" s="55"/>
      <c r="M31" s="55"/>
      <c r="N31" s="55"/>
      <c r="O31" s="55"/>
      <c r="P31" s="55"/>
      <c r="Q31" s="55"/>
      <c r="R31" s="56"/>
    </row>
    <row r="32" spans="1:18" x14ac:dyDescent="0.2">
      <c r="A32" t="s">
        <v>82</v>
      </c>
      <c r="C32" s="11">
        <f>'Side Calcs'!C13/GuV!C7</f>
        <v>7.2291157560084446E-2</v>
      </c>
      <c r="D32" s="12">
        <v>0.08</v>
      </c>
      <c r="E32" s="12">
        <f t="shared" ref="E32:I32" si="10">D32</f>
        <v>0.08</v>
      </c>
      <c r="F32" s="12">
        <v>0.08</v>
      </c>
      <c r="G32" s="12">
        <f>F32</f>
        <v>0.08</v>
      </c>
      <c r="H32" s="12">
        <f t="shared" si="10"/>
        <v>0.08</v>
      </c>
      <c r="I32" s="12">
        <f t="shared" si="10"/>
        <v>0.08</v>
      </c>
      <c r="K32" s="54"/>
      <c r="L32" s="55"/>
      <c r="M32" s="55"/>
      <c r="N32" s="55"/>
      <c r="O32" s="55"/>
      <c r="P32" s="55"/>
      <c r="Q32" s="55"/>
      <c r="R32" s="56"/>
    </row>
    <row r="33" spans="1:18" x14ac:dyDescent="0.2">
      <c r="A33" t="s">
        <v>214</v>
      </c>
      <c r="C33" s="11">
        <f>'Side Calcs'!C14/'Side Calcs'!C12</f>
        <v>-0.11328330009446835</v>
      </c>
      <c r="D33" s="12">
        <f>C33</f>
        <v>-0.11328330009446835</v>
      </c>
      <c r="E33" s="12">
        <f t="shared" ref="E33:I40" si="11">D33</f>
        <v>-0.11328330009446835</v>
      </c>
      <c r="F33" s="12">
        <f t="shared" si="11"/>
        <v>-0.11328330009446835</v>
      </c>
      <c r="G33" s="12">
        <f t="shared" si="11"/>
        <v>-0.11328330009446835</v>
      </c>
      <c r="H33" s="12">
        <f t="shared" si="11"/>
        <v>-0.11328330009446835</v>
      </c>
      <c r="I33" s="12">
        <f t="shared" si="11"/>
        <v>-0.11328330009446835</v>
      </c>
      <c r="K33" s="54"/>
      <c r="L33" s="55"/>
      <c r="M33" s="55"/>
      <c r="N33" s="55"/>
      <c r="O33" s="55"/>
      <c r="P33" s="55"/>
      <c r="Q33" s="55"/>
      <c r="R33" s="56"/>
    </row>
    <row r="34" spans="1:18" x14ac:dyDescent="0.2">
      <c r="A34" t="s">
        <v>84</v>
      </c>
      <c r="B34" s="2">
        <f>'Side Calcs'!B19</f>
        <v>11.883586119272611</v>
      </c>
      <c r="C34" s="2">
        <f>'Side Calcs'!C19</f>
        <v>36.297393922288073</v>
      </c>
      <c r="D34" s="3">
        <v>12.6</v>
      </c>
      <c r="E34" s="3">
        <f t="shared" si="11"/>
        <v>12.6</v>
      </c>
      <c r="F34" s="3">
        <f t="shared" si="11"/>
        <v>12.6</v>
      </c>
      <c r="G34" s="3">
        <f t="shared" si="11"/>
        <v>12.6</v>
      </c>
      <c r="H34" s="3">
        <f t="shared" si="11"/>
        <v>12.6</v>
      </c>
      <c r="I34" s="3">
        <f t="shared" si="11"/>
        <v>12.6</v>
      </c>
      <c r="K34" s="54" t="s">
        <v>226</v>
      </c>
      <c r="L34" s="55"/>
      <c r="M34" s="55"/>
      <c r="N34" s="55"/>
      <c r="O34" s="55"/>
      <c r="P34" s="55"/>
      <c r="Q34" s="55"/>
      <c r="R34" s="56"/>
    </row>
    <row r="35" spans="1:18" x14ac:dyDescent="0.2">
      <c r="A35" t="s">
        <v>87</v>
      </c>
      <c r="B35" s="2">
        <f>'Side Calcs'!B22</f>
        <v>76.405359965872876</v>
      </c>
      <c r="C35" s="2">
        <f>'Side Calcs'!C22</f>
        <v>47.360198343970197</v>
      </c>
      <c r="D35" s="3">
        <v>90</v>
      </c>
      <c r="E35" s="3">
        <f t="shared" si="11"/>
        <v>90</v>
      </c>
      <c r="F35" s="3">
        <f t="shared" si="11"/>
        <v>90</v>
      </c>
      <c r="G35" s="3">
        <f t="shared" si="11"/>
        <v>90</v>
      </c>
      <c r="H35" s="3">
        <f t="shared" si="11"/>
        <v>90</v>
      </c>
      <c r="I35" s="3">
        <f t="shared" si="11"/>
        <v>90</v>
      </c>
      <c r="K35" s="54" t="s">
        <v>216</v>
      </c>
      <c r="L35" s="55"/>
      <c r="M35" s="55"/>
      <c r="N35" s="55"/>
      <c r="O35" s="55"/>
      <c r="P35" s="55"/>
      <c r="Q35" s="55"/>
      <c r="R35" s="56"/>
    </row>
    <row r="36" spans="1:18" x14ac:dyDescent="0.2">
      <c r="A36" t="s">
        <v>88</v>
      </c>
      <c r="B36" s="2">
        <f>'Side Calcs'!B25</f>
        <v>83.359008973239099</v>
      </c>
      <c r="C36" s="2">
        <f>'Side Calcs'!C25</f>
        <v>73.624988239721517</v>
      </c>
      <c r="D36" s="3">
        <v>30</v>
      </c>
      <c r="E36" s="3">
        <f t="shared" si="11"/>
        <v>30</v>
      </c>
      <c r="F36" s="3">
        <f t="shared" si="11"/>
        <v>30</v>
      </c>
      <c r="G36" s="3">
        <f t="shared" si="11"/>
        <v>30</v>
      </c>
      <c r="H36" s="3">
        <f t="shared" si="11"/>
        <v>30</v>
      </c>
      <c r="I36" s="3">
        <f t="shared" si="11"/>
        <v>30</v>
      </c>
      <c r="K36" s="54" t="s">
        <v>232</v>
      </c>
      <c r="L36" s="55"/>
      <c r="M36" s="55"/>
      <c r="N36" s="55"/>
      <c r="O36" s="55"/>
      <c r="P36" s="55"/>
      <c r="Q36" s="55"/>
      <c r="R36" s="56"/>
    </row>
    <row r="37" spans="1:18" x14ac:dyDescent="0.2">
      <c r="A37" t="s">
        <v>93</v>
      </c>
      <c r="C37" s="11">
        <f>'Side Calcs'!C32/'Side Calcs'!C31</f>
        <v>0</v>
      </c>
      <c r="D37" s="3">
        <v>-75</v>
      </c>
      <c r="E37" s="3">
        <f>D37*1.05</f>
        <v>-78.75</v>
      </c>
      <c r="F37" s="3">
        <f t="shared" ref="F37:I37" si="12">E37*1.05</f>
        <v>-82.6875</v>
      </c>
      <c r="G37" s="3">
        <f t="shared" si="12"/>
        <v>-86.821875000000006</v>
      </c>
      <c r="H37" s="3">
        <f t="shared" si="12"/>
        <v>-91.162968750000005</v>
      </c>
      <c r="I37" s="3">
        <f t="shared" si="12"/>
        <v>-95.721117187500013</v>
      </c>
      <c r="K37" s="54" t="s">
        <v>227</v>
      </c>
      <c r="L37" s="55"/>
      <c r="M37" s="55"/>
      <c r="N37" s="55"/>
      <c r="O37" s="55"/>
      <c r="P37" s="55"/>
      <c r="Q37" s="55"/>
      <c r="R37" s="56"/>
    </row>
    <row r="38" spans="1:18" x14ac:dyDescent="0.2">
      <c r="A38" t="s">
        <v>205</v>
      </c>
      <c r="C38" s="11"/>
      <c r="D38" s="3">
        <v>140</v>
      </c>
      <c r="E38" s="3">
        <v>0</v>
      </c>
      <c r="F38" s="3">
        <v>0</v>
      </c>
      <c r="G38" s="3">
        <v>0</v>
      </c>
      <c r="H38" s="3">
        <v>0</v>
      </c>
      <c r="I38" s="3">
        <v>0</v>
      </c>
      <c r="K38" s="54"/>
      <c r="L38" s="55"/>
      <c r="M38" s="55"/>
      <c r="N38" s="55"/>
      <c r="O38" s="55"/>
      <c r="P38" s="55"/>
      <c r="Q38" s="55"/>
      <c r="R38" s="56"/>
    </row>
    <row r="39" spans="1:18" x14ac:dyDescent="0.2">
      <c r="A39" t="s">
        <v>206</v>
      </c>
      <c r="D39" s="3">
        <v>0</v>
      </c>
      <c r="E39" s="3">
        <f t="shared" si="11"/>
        <v>0</v>
      </c>
      <c r="F39" s="3">
        <f t="shared" si="11"/>
        <v>0</v>
      </c>
      <c r="G39" s="3">
        <f t="shared" si="11"/>
        <v>0</v>
      </c>
      <c r="H39" s="3" t="s">
        <v>159</v>
      </c>
      <c r="I39" s="3">
        <v>0</v>
      </c>
      <c r="K39" s="54"/>
      <c r="L39" s="55"/>
      <c r="M39" s="55"/>
      <c r="N39" s="55"/>
      <c r="O39" s="55"/>
      <c r="P39" s="55"/>
      <c r="Q39" s="55"/>
      <c r="R39" s="56"/>
    </row>
    <row r="40" spans="1:18" x14ac:dyDescent="0.2">
      <c r="A40" t="s">
        <v>207</v>
      </c>
      <c r="D40" s="12">
        <v>0.1</v>
      </c>
      <c r="E40" s="12">
        <f>D40</f>
        <v>0.1</v>
      </c>
      <c r="F40" s="12">
        <f t="shared" si="11"/>
        <v>0.1</v>
      </c>
      <c r="G40" s="12">
        <f t="shared" si="11"/>
        <v>0.1</v>
      </c>
      <c r="H40" s="12">
        <f t="shared" si="11"/>
        <v>0.1</v>
      </c>
      <c r="I40" s="12">
        <f t="shared" si="11"/>
        <v>0.1</v>
      </c>
      <c r="K40" s="54" t="s">
        <v>228</v>
      </c>
      <c r="L40" s="55"/>
      <c r="M40" s="55"/>
      <c r="N40" s="55"/>
      <c r="O40" s="55"/>
      <c r="P40" s="55"/>
      <c r="Q40" s="55"/>
      <c r="R40" s="56"/>
    </row>
    <row r="42" spans="1:18" s="5" customFormat="1" x14ac:dyDescent="0.2">
      <c r="A42" s="5" t="s">
        <v>72</v>
      </c>
      <c r="K42" s="42"/>
    </row>
    <row r="43" spans="1:18" s="5" customFormat="1" x14ac:dyDescent="0.2">
      <c r="A43" t="s">
        <v>190</v>
      </c>
      <c r="D43" s="3">
        <v>8</v>
      </c>
      <c r="E43" s="3">
        <v>8</v>
      </c>
      <c r="F43" s="3">
        <v>8</v>
      </c>
      <c r="G43" s="3">
        <v>8</v>
      </c>
      <c r="H43" s="3">
        <v>8</v>
      </c>
      <c r="I43" s="3">
        <v>8</v>
      </c>
      <c r="K43" s="54"/>
      <c r="L43" s="55"/>
      <c r="M43" s="55"/>
      <c r="N43" s="55"/>
      <c r="O43" s="55"/>
      <c r="P43" s="55"/>
      <c r="Q43" s="55"/>
      <c r="R43" s="56"/>
    </row>
    <row r="44" spans="1:18" x14ac:dyDescent="0.2">
      <c r="A44" t="s">
        <v>97</v>
      </c>
      <c r="D44" s="3">
        <v>460</v>
      </c>
      <c r="E44" s="3">
        <v>335</v>
      </c>
      <c r="F44" s="3">
        <v>330</v>
      </c>
      <c r="G44" s="3">
        <v>335</v>
      </c>
      <c r="H44" s="3">
        <v>335</v>
      </c>
      <c r="I44" s="3">
        <v>335</v>
      </c>
      <c r="K44" s="54" t="s">
        <v>229</v>
      </c>
      <c r="L44" s="55"/>
      <c r="M44" s="55"/>
      <c r="N44" s="55"/>
      <c r="O44" s="55"/>
      <c r="P44" s="55"/>
      <c r="Q44" s="55"/>
      <c r="R44" s="56"/>
    </row>
    <row r="45" spans="1:18" x14ac:dyDescent="0.2">
      <c r="A45" t="s">
        <v>98</v>
      </c>
      <c r="D45" s="3">
        <f>-'Debt schedule'!C9/D43</f>
        <v>-422.8125</v>
      </c>
      <c r="E45" s="3">
        <f>-'Debt schedule'!D9/E43</f>
        <v>-427.4609375</v>
      </c>
      <c r="F45" s="3">
        <f>-'Debt schedule'!E9/F43</f>
        <v>-415.9033203125</v>
      </c>
      <c r="G45" s="3">
        <f>-'Debt schedule'!F9/G43</f>
        <v>-405.1654052734375</v>
      </c>
      <c r="H45" s="3">
        <f>-'Debt schedule'!G9/H43</f>
        <v>-396.39472961425781</v>
      </c>
      <c r="I45" s="3">
        <f>-'Debt schedule'!H9/I43</f>
        <v>-388.72038841247559</v>
      </c>
      <c r="K45" s="54" t="s">
        <v>230</v>
      </c>
      <c r="L45" s="55"/>
      <c r="M45" s="55"/>
      <c r="N45" s="55"/>
      <c r="O45" s="55"/>
      <c r="P45" s="55"/>
      <c r="Q45" s="55"/>
      <c r="R45" s="56"/>
    </row>
    <row r="46" spans="1:18" x14ac:dyDescent="0.2">
      <c r="A46" t="s">
        <v>99</v>
      </c>
      <c r="C46" s="14">
        <f>'Debt schedule'!C12</f>
        <v>-2.8876915305607005E-2</v>
      </c>
      <c r="D46" s="12">
        <v>-3.5000000000000003E-2</v>
      </c>
      <c r="E46" s="12">
        <v>-3.7499999999999999E-2</v>
      </c>
      <c r="F46" s="12">
        <v>-0.04</v>
      </c>
      <c r="G46" s="12">
        <v>-0.05</v>
      </c>
      <c r="H46" s="12">
        <f t="shared" ref="H46:I46" si="13">G46</f>
        <v>-0.05</v>
      </c>
      <c r="I46" s="12">
        <f t="shared" si="13"/>
        <v>-0.05</v>
      </c>
      <c r="K46" s="54" t="s">
        <v>217</v>
      </c>
      <c r="L46" s="55"/>
      <c r="M46" s="55"/>
      <c r="N46" s="55"/>
      <c r="O46" s="55"/>
      <c r="P46" s="55"/>
      <c r="Q46" s="55"/>
      <c r="R46" s="56"/>
    </row>
    <row r="47" spans="1:18" x14ac:dyDescent="0.2">
      <c r="A47" t="s">
        <v>105</v>
      </c>
      <c r="D47" s="3">
        <v>0</v>
      </c>
      <c r="E47" s="3">
        <v>0</v>
      </c>
      <c r="F47" s="3">
        <v>0</v>
      </c>
      <c r="G47" s="3">
        <v>0</v>
      </c>
      <c r="H47" s="3">
        <v>0</v>
      </c>
      <c r="I47" s="3">
        <v>0</v>
      </c>
      <c r="K47" s="54"/>
      <c r="L47" s="55"/>
      <c r="M47" s="55"/>
      <c r="N47" s="55"/>
      <c r="O47" s="55"/>
      <c r="P47" s="55"/>
      <c r="Q47" s="55"/>
      <c r="R47" s="56"/>
    </row>
    <row r="48" spans="1:18" x14ac:dyDescent="0.2">
      <c r="A48" t="s">
        <v>106</v>
      </c>
      <c r="D48" s="3">
        <f>-Bilanz!C38</f>
        <v>-69.900000000000006</v>
      </c>
      <c r="E48" s="3">
        <v>0</v>
      </c>
      <c r="F48" s="3">
        <v>0</v>
      </c>
      <c r="G48" s="3">
        <v>0</v>
      </c>
      <c r="H48" s="3">
        <v>0</v>
      </c>
      <c r="I48" s="3">
        <v>0</v>
      </c>
      <c r="K48" s="54" t="s">
        <v>231</v>
      </c>
      <c r="L48" s="55"/>
      <c r="M48" s="55"/>
      <c r="N48" s="55"/>
      <c r="O48" s="55"/>
      <c r="P48" s="55"/>
      <c r="Q48" s="55"/>
      <c r="R48" s="56"/>
    </row>
    <row r="49" spans="1:18" x14ac:dyDescent="0.2">
      <c r="A49" t="s">
        <v>109</v>
      </c>
      <c r="C49" s="15">
        <f>C46</f>
        <v>-2.8876915305607005E-2</v>
      </c>
      <c r="D49" s="12">
        <v>-0.1</v>
      </c>
      <c r="E49" s="12">
        <f t="shared" ref="E49:I50" si="14">D49</f>
        <v>-0.1</v>
      </c>
      <c r="F49" s="12">
        <f t="shared" si="14"/>
        <v>-0.1</v>
      </c>
      <c r="G49" s="12">
        <f t="shared" si="14"/>
        <v>-0.1</v>
      </c>
      <c r="H49" s="12">
        <f t="shared" si="14"/>
        <v>-0.1</v>
      </c>
      <c r="I49" s="12">
        <f t="shared" si="14"/>
        <v>-0.1</v>
      </c>
      <c r="K49" s="54"/>
      <c r="L49" s="55"/>
      <c r="M49" s="55"/>
      <c r="N49" s="55"/>
      <c r="O49" s="55"/>
      <c r="P49" s="55"/>
      <c r="Q49" s="55"/>
      <c r="R49" s="56"/>
    </row>
    <row r="50" spans="1:18" x14ac:dyDescent="0.2">
      <c r="A50" t="s">
        <v>112</v>
      </c>
      <c r="C50" s="14">
        <f>'Debt schedule'!C34</f>
        <v>0</v>
      </c>
      <c r="D50" s="12">
        <v>0</v>
      </c>
      <c r="E50" s="12">
        <f t="shared" si="14"/>
        <v>0</v>
      </c>
      <c r="F50" s="12">
        <f t="shared" si="14"/>
        <v>0</v>
      </c>
      <c r="G50" s="12">
        <f t="shared" si="14"/>
        <v>0</v>
      </c>
      <c r="H50" s="12">
        <f t="shared" si="14"/>
        <v>0</v>
      </c>
      <c r="I50" s="12">
        <f t="shared" si="14"/>
        <v>0</v>
      </c>
      <c r="K50" s="54"/>
      <c r="L50" s="55"/>
      <c r="M50" s="55"/>
      <c r="N50" s="55"/>
      <c r="O50" s="55"/>
      <c r="P50" s="55"/>
      <c r="Q50" s="55"/>
      <c r="R50" s="56"/>
    </row>
  </sheetData>
  <mergeCells count="38">
    <mergeCell ref="K11:R11"/>
    <mergeCell ref="K6:R6"/>
    <mergeCell ref="K7:R7"/>
    <mergeCell ref="K8:R8"/>
    <mergeCell ref="K9:R9"/>
    <mergeCell ref="K10:R10"/>
    <mergeCell ref="K26:R26"/>
    <mergeCell ref="K12:R12"/>
    <mergeCell ref="K13:R13"/>
    <mergeCell ref="K14:R14"/>
    <mergeCell ref="K15:R15"/>
    <mergeCell ref="K16:R16"/>
    <mergeCell ref="K20:R20"/>
    <mergeCell ref="K21:R21"/>
    <mergeCell ref="K22:R22"/>
    <mergeCell ref="K23:R23"/>
    <mergeCell ref="K24:R24"/>
    <mergeCell ref="K25:R25"/>
    <mergeCell ref="K40:R40"/>
    <mergeCell ref="K27:R27"/>
    <mergeCell ref="K30:R30"/>
    <mergeCell ref="K31:R31"/>
    <mergeCell ref="K32:R32"/>
    <mergeCell ref="K33:R33"/>
    <mergeCell ref="K34:R34"/>
    <mergeCell ref="K35:R35"/>
    <mergeCell ref="K36:R36"/>
    <mergeCell ref="K37:R37"/>
    <mergeCell ref="K38:R38"/>
    <mergeCell ref="K39:R39"/>
    <mergeCell ref="K49:R49"/>
    <mergeCell ref="K50:R50"/>
    <mergeCell ref="K43:R43"/>
    <mergeCell ref="K44:R44"/>
    <mergeCell ref="K45:R45"/>
    <mergeCell ref="K46:R46"/>
    <mergeCell ref="K47:R47"/>
    <mergeCell ref="K48:R48"/>
  </mergeCells>
  <pageMargins left="0.70866141732283472" right="0.70866141732283472" top="0.78740157480314965" bottom="0.78740157480314965" header="0.31496062992125984" footer="0.31496062992125984"/>
  <pageSetup paperSize="9" scale="50" orientation="landscape" r:id="rId1"/>
  <headerFooter>
    <oddHeader xml:space="preserve">&amp;L&amp;"-,Fett"Stand: &amp;"-,Standard"&amp;D &amp;T&amp;R&amp;"-,Fett"Datei: &amp;"-,Standard"&amp;F | &amp;"-,Fett"Tab:&amp;"-,Standard" &amp;A     </oddHeader>
    <oddFooter>&amp;RSeite &amp;P von &amp;N</oddFooter>
  </headerFooter>
  <rowBreaks count="1" manualBreakCount="1">
    <brk id="28" max="17"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8CDA1-C73C-40F7-B0F5-E4F53478DD1C}">
  <sheetPr>
    <tabColor theme="4"/>
  </sheetPr>
  <dimension ref="A1:I32"/>
  <sheetViews>
    <sheetView showGridLines="0" zoomScaleNormal="100" workbookViewId="0">
      <pane ySplit="3" topLeftCell="A4" activePane="bottomLeft" state="frozen"/>
      <selection activeCell="W24" sqref="W24"/>
      <selection pane="bottomLeft" activeCell="E34" sqref="E34"/>
    </sheetView>
  </sheetViews>
  <sheetFormatPr baseColWidth="10" defaultRowHeight="15" x14ac:dyDescent="0.2"/>
  <cols>
    <col min="1" max="1" width="45.33203125" customWidth="1"/>
  </cols>
  <sheetData>
    <row r="1" spans="1:9" ht="45" x14ac:dyDescent="0.45">
      <c r="A1" s="4" t="str">
        <f>Controls!A1</f>
        <v>Forecast: Kundennamen</v>
      </c>
    </row>
    <row r="2" spans="1:9" x14ac:dyDescent="0.2">
      <c r="A2" s="5" t="str" cm="1">
        <f t="array" aca="1" ref="A2" ca="1">MID(CELL("dateiname",A1),SEARCH("]",CELL("dateiname",A1))+1,31)</f>
        <v>GuV</v>
      </c>
    </row>
    <row r="3" spans="1:9" s="6" customFormat="1" ht="16" thickBot="1" x14ac:dyDescent="0.25">
      <c r="A3" s="6" t="s">
        <v>5</v>
      </c>
      <c r="B3" s="19">
        <f>Controls!B7</f>
        <v>45291</v>
      </c>
      <c r="C3" s="7">
        <f t="shared" ref="C3:D3" si="0">DATE(YEAR(B3)+1,MONTH(B3),DAY(B3))</f>
        <v>45657</v>
      </c>
      <c r="D3" s="8">
        <f t="shared" si="0"/>
        <v>46022</v>
      </c>
      <c r="E3" s="8">
        <f t="shared" ref="E3" si="1">DATE(YEAR(D3)+1,MONTH(D3),DAY(D3))</f>
        <v>46387</v>
      </c>
      <c r="F3" s="8">
        <f t="shared" ref="F3" si="2">DATE(YEAR(E3)+1,MONTH(E3),DAY(E3))</f>
        <v>46752</v>
      </c>
      <c r="G3" s="8">
        <f t="shared" ref="G3" si="3">DATE(YEAR(F3)+1,MONTH(F3),DAY(F3))</f>
        <v>47118</v>
      </c>
      <c r="H3" s="8">
        <f t="shared" ref="H3" si="4">DATE(YEAR(G3)+1,MONTH(G3),DAY(G3))</f>
        <v>47483</v>
      </c>
      <c r="I3" s="8">
        <f t="shared" ref="I3" si="5">DATE(YEAR(H3)+1,MONTH(H3),DAY(H3))</f>
        <v>47848</v>
      </c>
    </row>
    <row r="5" spans="1:9" x14ac:dyDescent="0.2">
      <c r="A5" t="s">
        <v>6</v>
      </c>
      <c r="B5" s="176">
        <f>'Input (agree Daten)'!C238</f>
        <v>3574</v>
      </c>
      <c r="C5" s="176">
        <f>'Input (agree Daten)'!E238</f>
        <v>4301.3</v>
      </c>
    </row>
    <row r="6" spans="1:9" x14ac:dyDescent="0.2">
      <c r="A6" t="s">
        <v>7</v>
      </c>
      <c r="B6" s="176">
        <f>'Input (agree Daten)'!C239+'Input (agree Daten)'!C240</f>
        <v>411.09999999999997</v>
      </c>
      <c r="C6" s="176">
        <f>'Input (agree Daten)'!E239+'Input (agree Daten)'!E240</f>
        <v>-86.399999999999991</v>
      </c>
    </row>
    <row r="7" spans="1:9" s="5" customFormat="1" x14ac:dyDescent="0.2">
      <c r="A7" s="5" t="s">
        <v>54</v>
      </c>
      <c r="B7" s="5">
        <f>SUM(B5:B6)</f>
        <v>3985.1</v>
      </c>
      <c r="C7" s="5">
        <f>SUM(C5:C6)</f>
        <v>4214.9000000000005</v>
      </c>
      <c r="D7" s="5">
        <f>(1+'Input (Annahmen)'!D6)*GuV!C7</f>
        <v>4425.6450000000004</v>
      </c>
      <c r="E7" s="5">
        <f>(1+'Input (Annahmen)'!E6)*GuV!D7</f>
        <v>4646.9272500000006</v>
      </c>
      <c r="F7" s="5">
        <f>(1+'Input (Annahmen)'!F6)*GuV!E7</f>
        <v>4879.273612500001</v>
      </c>
      <c r="G7" s="5">
        <f>(1+'Input (Annahmen)'!G6)*GuV!F7</f>
        <v>5123.2372931250011</v>
      </c>
      <c r="H7" s="5">
        <f>(1+'Input (Annahmen)'!H6)*GuV!G7</f>
        <v>5379.3991577812512</v>
      </c>
      <c r="I7" s="5">
        <f>(1+'Input (Annahmen)'!I6)*GuV!H7</f>
        <v>5648.3691156703144</v>
      </c>
    </row>
    <row r="8" spans="1:9" x14ac:dyDescent="0.2">
      <c r="A8" t="s">
        <v>8</v>
      </c>
      <c r="B8" s="176">
        <f>-'Input (agree Daten)'!C245</f>
        <v>-1259.3</v>
      </c>
      <c r="C8" s="176">
        <f>-'Input (agree Daten)'!E245</f>
        <v>-1062.9000000000001</v>
      </c>
      <c r="D8">
        <f>D7*'Input (Annahmen)'!D7</f>
        <v>-1327.6935000000001</v>
      </c>
      <c r="E8">
        <f>E7*'Input (Annahmen)'!E7</f>
        <v>-1347.6089025000001</v>
      </c>
      <c r="F8">
        <f>F7*'Input (Annahmen)'!F7</f>
        <v>-1414.9893476250002</v>
      </c>
      <c r="G8">
        <f>G7*'Input (Annahmen)'!G7</f>
        <v>-1485.7388150062502</v>
      </c>
      <c r="H8">
        <f>H7*'Input (Annahmen)'!H7</f>
        <v>-1560.0257557565628</v>
      </c>
      <c r="I8">
        <f>I7*'Input (Annahmen)'!I7</f>
        <v>-1638.0270435443911</v>
      </c>
    </row>
    <row r="9" spans="1:9" s="5" customFormat="1" x14ac:dyDescent="0.2">
      <c r="A9" s="5" t="s">
        <v>10</v>
      </c>
      <c r="B9" s="5">
        <f>SUM(B7:B8)</f>
        <v>2725.8</v>
      </c>
      <c r="C9" s="5">
        <f>SUM(C7:C8)</f>
        <v>3152.0000000000005</v>
      </c>
      <c r="D9" s="5">
        <f t="shared" ref="D9" si="6">SUM(D5:D8)</f>
        <v>3097.9515000000001</v>
      </c>
      <c r="E9" s="5">
        <f t="shared" ref="E9:I9" si="7">SUM(E5:E8)</f>
        <v>3299.3183475000005</v>
      </c>
      <c r="F9" s="5">
        <f t="shared" si="7"/>
        <v>3464.2842648750011</v>
      </c>
      <c r="G9" s="5">
        <f t="shared" si="7"/>
        <v>3637.4984781187509</v>
      </c>
      <c r="H9" s="5">
        <f t="shared" si="7"/>
        <v>3819.3734020246884</v>
      </c>
      <c r="I9" s="5">
        <f t="shared" si="7"/>
        <v>4010.3420721259236</v>
      </c>
    </row>
    <row r="11" spans="1:9" x14ac:dyDescent="0.2">
      <c r="A11" t="s">
        <v>11</v>
      </c>
      <c r="B11" s="176">
        <f>-'Input (agree Daten)'!C260</f>
        <v>-1214.2</v>
      </c>
      <c r="C11" s="176">
        <f>-'Input (agree Daten)'!E260</f>
        <v>-1422.2</v>
      </c>
      <c r="D11">
        <f>'Input (Annahmen)'!D8*D7</f>
        <v>-1416.2064000000003</v>
      </c>
      <c r="E11">
        <f>'Input (Annahmen)'!E8*E7</f>
        <v>-1487.0167200000003</v>
      </c>
      <c r="F11">
        <f>'Input (Annahmen)'!F8*F7</f>
        <v>-1561.3675560000004</v>
      </c>
      <c r="G11">
        <f>'Input (Annahmen)'!G8*G7</f>
        <v>-1639.4359338000004</v>
      </c>
      <c r="H11">
        <f>'Input (Annahmen)'!H8*H7</f>
        <v>-1721.4077304900004</v>
      </c>
      <c r="I11">
        <f>'Input (Annahmen)'!I8*I7</f>
        <v>-1807.4781170145006</v>
      </c>
    </row>
    <row r="12" spans="1:9" x14ac:dyDescent="0.2">
      <c r="A12" t="s">
        <v>12</v>
      </c>
      <c r="B12" s="176">
        <f>-'Input (agree Daten)'!C268</f>
        <v>0</v>
      </c>
      <c r="C12" s="176">
        <f>-'Input (agree Daten)'!E268</f>
        <v>0</v>
      </c>
      <c r="D12">
        <f>'Input (Annahmen)'!D9*GuV!D7</f>
        <v>-61.959030000000006</v>
      </c>
      <c r="E12">
        <f>'Input (Annahmen)'!E9*GuV!E7</f>
        <v>-65.056981500000006</v>
      </c>
      <c r="F12">
        <f>'Input (Annahmen)'!F9*GuV!F7</f>
        <v>-68.309830575000021</v>
      </c>
      <c r="G12">
        <f>'Input (Annahmen)'!G9*GuV!G7</f>
        <v>-71.725322103750017</v>
      </c>
      <c r="H12">
        <f>'Input (Annahmen)'!H9*GuV!H7</f>
        <v>-75.311588208937522</v>
      </c>
      <c r="I12">
        <f>'Input (Annahmen)'!I9*GuV!I7</f>
        <v>-79.077167619384397</v>
      </c>
    </row>
    <row r="13" spans="1:9" x14ac:dyDescent="0.2">
      <c r="A13" t="s">
        <v>13</v>
      </c>
      <c r="B13" s="176">
        <f>-'Input (agree Daten)'!C270</f>
        <v>0</v>
      </c>
      <c r="C13" s="176">
        <f>-'Input (agree Daten)'!E270</f>
        <v>0</v>
      </c>
      <c r="D13">
        <f>'Input (Annahmen)'!D10*GuV!D7</f>
        <v>-57.533385000000003</v>
      </c>
      <c r="E13">
        <f>'Input (Annahmen)'!E10*GuV!E7</f>
        <v>-60.410054250000009</v>
      </c>
      <c r="F13">
        <f>'Input (Annahmen)'!F10*GuV!F7</f>
        <v>-63.430556962500013</v>
      </c>
      <c r="G13">
        <f>'Input (Annahmen)'!G10*GuV!G7</f>
        <v>-66.602084810625016</v>
      </c>
      <c r="H13">
        <f>'Input (Annahmen)'!H10*GuV!H7</f>
        <v>-69.932189051156257</v>
      </c>
      <c r="I13">
        <f>'Input (Annahmen)'!I10*GuV!I7</f>
        <v>-73.428798503714077</v>
      </c>
    </row>
    <row r="14" spans="1:9" x14ac:dyDescent="0.2">
      <c r="A14" t="s">
        <v>14</v>
      </c>
      <c r="B14" s="176">
        <f>-'Input (agree Daten)'!C275</f>
        <v>0</v>
      </c>
      <c r="C14" s="176">
        <f>-'Input (agree Daten)'!E275</f>
        <v>0</v>
      </c>
      <c r="D14">
        <f>'Input (Annahmen)'!D11*GuV!D7</f>
        <v>-143.83346250000002</v>
      </c>
      <c r="E14">
        <f>'Input (Annahmen)'!E11*GuV!E7</f>
        <v>-151.02513562500002</v>
      </c>
      <c r="F14">
        <f>'Input (Annahmen)'!F11*GuV!F7</f>
        <v>-158.57639240625005</v>
      </c>
      <c r="G14">
        <f>'Input (Annahmen)'!G11*GuV!G7</f>
        <v>-166.50521202656253</v>
      </c>
      <c r="H14">
        <f>'Input (Annahmen)'!H11*GuV!H7</f>
        <v>-174.83047262789066</v>
      </c>
      <c r="I14">
        <f>'Input (Annahmen)'!I11*GuV!I7</f>
        <v>-183.57199625928521</v>
      </c>
    </row>
    <row r="15" spans="1:9" x14ac:dyDescent="0.2">
      <c r="A15" t="s">
        <v>15</v>
      </c>
      <c r="B15" s="176">
        <f>-'Input (agree Daten)'!C272</f>
        <v>0</v>
      </c>
      <c r="C15" s="176">
        <f>-'Input (agree Daten)'!E272</f>
        <v>0</v>
      </c>
      <c r="D15">
        <f>'Input (Annahmen)'!D12*GuV!D7</f>
        <v>-429.28756500000003</v>
      </c>
      <c r="E15">
        <f>'Input (Annahmen)'!E12*GuV!E7</f>
        <v>-450.75194325000007</v>
      </c>
      <c r="F15">
        <f>'Input (Annahmen)'!F12*GuV!F7</f>
        <v>-473.28954041250012</v>
      </c>
      <c r="G15">
        <f>'Input (Annahmen)'!G12*GuV!G7</f>
        <v>-496.9540174331251</v>
      </c>
      <c r="H15">
        <f>'Input (Annahmen)'!H12*GuV!H7</f>
        <v>-521.80171830478139</v>
      </c>
      <c r="I15">
        <f>'Input (Annahmen)'!I12*GuV!I7</f>
        <v>-547.8918042200205</v>
      </c>
    </row>
    <row r="16" spans="1:9" x14ac:dyDescent="0.2">
      <c r="A16" t="s">
        <v>16</v>
      </c>
      <c r="B16" s="176">
        <f>-'Input (agree Daten)'!C273</f>
        <v>0</v>
      </c>
      <c r="C16" s="176">
        <f>-'Input (agree Daten)'!E273</f>
        <v>0</v>
      </c>
      <c r="D16">
        <f>'Input (Annahmen)'!D13*GuV!D7</f>
        <v>-35.405160000000002</v>
      </c>
      <c r="E16">
        <f>'Input (Annahmen)'!E13*GuV!E7</f>
        <v>-37.175418000000008</v>
      </c>
      <c r="F16">
        <f>'Input (Annahmen)'!F13*GuV!F7</f>
        <v>-39.034188900000011</v>
      </c>
      <c r="G16">
        <f>'Input (Annahmen)'!G13*GuV!G7</f>
        <v>-40.98589834500001</v>
      </c>
      <c r="H16">
        <f>'Input (Annahmen)'!H13*GuV!H7</f>
        <v>-43.035193262250012</v>
      </c>
      <c r="I16">
        <f>'Input (Annahmen)'!I13*GuV!I7</f>
        <v>-45.186952925362519</v>
      </c>
    </row>
    <row r="17" spans="1:9" x14ac:dyDescent="0.2">
      <c r="A17" t="s">
        <v>17</v>
      </c>
      <c r="B17" s="176">
        <f>'Input (agree Daten)'!C254-('Input (agree Daten)'!C265+'Input (agree Daten)'!C267+'Input (agree Daten)'!C278+'Input (agree Daten)'!C279-'Input (agree Daten)'!C268-'Input (agree Daten)'!C270-'Input (agree Daten)'!C272-'Input (agree Daten)'!C273-'Input (agree Daten)'!C275)</f>
        <v>-919.2</v>
      </c>
      <c r="C17" s="176">
        <f>'Input (agree Daten)'!E254-('Input (agree Daten)'!E265+'Input (agree Daten)'!E267+'Input (agree Daten)'!E278+'Input (agree Daten)'!E279-'Input (agree Daten)'!E268-'Input (agree Daten)'!E270-'Input (agree Daten)'!E272-'Input (agree Daten)'!E273-'Input (agree Daten)'!E275)</f>
        <v>-1043.9000000000001</v>
      </c>
      <c r="D17">
        <f>'Input (Annahmen)'!D14*GuV!D7</f>
        <v>-243.41047500000002</v>
      </c>
      <c r="E17">
        <f>'Input (Annahmen)'!E14*GuV!E7</f>
        <v>-255.58099875000005</v>
      </c>
      <c r="F17">
        <f>'Input (Annahmen)'!F14*GuV!F7</f>
        <v>-268.36004868750007</v>
      </c>
      <c r="G17">
        <f>'Input (Annahmen)'!G14*GuV!G7</f>
        <v>-281.77805112187508</v>
      </c>
      <c r="H17">
        <f>'Input (Annahmen)'!H14*GuV!H7</f>
        <v>-295.86695367796881</v>
      </c>
      <c r="I17">
        <f>'Input (Annahmen)'!I14*GuV!I7</f>
        <v>-310.66030136186731</v>
      </c>
    </row>
    <row r="18" spans="1:9" x14ac:dyDescent="0.2">
      <c r="A18" t="s">
        <v>18</v>
      </c>
      <c r="B18" s="176">
        <f>-'Input (agree Daten)'!C264</f>
        <v>-459.4</v>
      </c>
      <c r="C18" s="176">
        <f>-'Input (agree Daten)'!E264</f>
        <v>-431.7</v>
      </c>
      <c r="D18">
        <f>'Side Calcs'!D8+'Side Calcs'!D14</f>
        <v>-458.73677999370204</v>
      </c>
      <c r="E18">
        <f>'Side Calcs'!E8+'Side Calcs'!E14</f>
        <v>-445.29310667910119</v>
      </c>
      <c r="F18">
        <f>'Side Calcs'!F8+'Side Calcs'!F14</f>
        <v>-434.69645135200767</v>
      </c>
      <c r="G18">
        <f>'Side Calcs'!G8+'Side Calcs'!G14</f>
        <v>-426.49180419733904</v>
      </c>
      <c r="H18">
        <f>'Side Calcs'!H8+'Side Calcs'!H14</f>
        <v>-420.20350690297033</v>
      </c>
      <c r="I18">
        <f>'Side Calcs'!I8+'Side Calcs'!I14</f>
        <v>-415.3123443443061</v>
      </c>
    </row>
    <row r="19" spans="1:9" s="5" customFormat="1" x14ac:dyDescent="0.2">
      <c r="A19" s="5" t="s">
        <v>19</v>
      </c>
      <c r="B19" s="5">
        <f>SUM(B9:B18)</f>
        <v>133.00000000000011</v>
      </c>
      <c r="C19" s="5">
        <f t="shared" ref="C19:D19" si="8">SUM(C9:C18)</f>
        <v>254.20000000000033</v>
      </c>
      <c r="D19" s="5">
        <f t="shared" si="8"/>
        <v>251.57924250629776</v>
      </c>
      <c r="E19" s="5">
        <f t="shared" ref="E19:I19" si="9">SUM(E9:E18)</f>
        <v>347.00798944589866</v>
      </c>
      <c r="F19" s="5">
        <f t="shared" si="9"/>
        <v>397.21969957924262</v>
      </c>
      <c r="G19" s="5">
        <f t="shared" si="9"/>
        <v>447.02015428047383</v>
      </c>
      <c r="H19" s="5">
        <f t="shared" si="9"/>
        <v>496.98404949873321</v>
      </c>
      <c r="I19" s="5">
        <f t="shared" si="9"/>
        <v>547.73458987748279</v>
      </c>
    </row>
    <row r="21" spans="1:9" x14ac:dyDescent="0.2">
      <c r="A21" t="s">
        <v>20</v>
      </c>
      <c r="B21" s="176">
        <f>'Input (agree Daten)'!C282</f>
        <v>0</v>
      </c>
      <c r="C21" s="176">
        <f>'Input (agree Daten)'!E282</f>
        <v>0</v>
      </c>
      <c r="D21" s="13">
        <f ca="1">IF(Controls!$B$6=1,'Debt schedule'!D58, 0)</f>
        <v>0</v>
      </c>
      <c r="E21" s="13">
        <f ca="1">IF(Controls!$B$6=1,'Debt schedule'!E58, 0)</f>
        <v>0</v>
      </c>
      <c r="F21" s="13">
        <f ca="1">IF(Controls!$B$6=1,'Debt schedule'!F58, 0)</f>
        <v>0</v>
      </c>
      <c r="G21" s="13">
        <f ca="1">IF(Controls!$B$6=1,'Debt schedule'!G58, 0)</f>
        <v>0</v>
      </c>
      <c r="H21" s="13">
        <f ca="1">IF(Controls!$B$6=1,'Debt schedule'!H58, 0)</f>
        <v>0</v>
      </c>
      <c r="I21" s="13">
        <f ca="1">IF(Controls!$B$6=1,'Debt schedule'!I58, 0)</f>
        <v>0</v>
      </c>
    </row>
    <row r="22" spans="1:9" x14ac:dyDescent="0.2">
      <c r="A22" t="s">
        <v>22</v>
      </c>
      <c r="B22" s="176">
        <f>-('Input (agree Daten)'!C284+'Input (agree Daten)'!C286)</f>
        <v>-105</v>
      </c>
      <c r="C22" s="176">
        <f>-('Input (agree Daten)'!E284+'Input (agree Daten)'!E286)</f>
        <v>-102.9</v>
      </c>
      <c r="D22" s="13">
        <f ca="1">IF(Controls!$B$6=1,SUM('Debt schedule'!D59, 'Debt schedule'!D60), 0)</f>
        <v>-123.89153125000001</v>
      </c>
      <c r="E22" s="13">
        <f ca="1">IF(Controls!$B$6=1,SUM('Debt schedule'!E59, 'Debt schedule'!E60), 0)</f>
        <v>-136.374638671875</v>
      </c>
      <c r="F22" s="13">
        <f ca="1">IF(Controls!$B$6=1,SUM('Debt schedule'!F59, 'Debt schedule'!F60), 0)</f>
        <v>-141.24099609375</v>
      </c>
      <c r="G22" s="13">
        <f ca="1">IF(Controls!$B$6=1,SUM('Debt schedule'!G59, 'Debt schedule'!G60), 0)</f>
        <v>-170.18202697753907</v>
      </c>
      <c r="H22" s="13">
        <f ca="1">IF(Controls!$B$6=1,SUM('Debt schedule'!H59, 'Debt schedule'!H60), 0)</f>
        <v>-166.89302360534668</v>
      </c>
      <c r="I22" s="13">
        <f ca="1">IF(Controls!$B$6=1,SUM('Debt schedule'!I59, 'Debt schedule'!I60), 0)</f>
        <v>-164.01514565467835</v>
      </c>
    </row>
    <row r="23" spans="1:9" s="5" customFormat="1" x14ac:dyDescent="0.2">
      <c r="A23" s="5" t="s">
        <v>21</v>
      </c>
      <c r="B23" s="5">
        <f>SUM(B21:B22)</f>
        <v>-105</v>
      </c>
      <c r="C23" s="5">
        <f>SUM(C21:C22)</f>
        <v>-102.9</v>
      </c>
      <c r="D23" s="5">
        <f ca="1">SUM(D21:D22)</f>
        <v>-123.89153125000001</v>
      </c>
      <c r="E23" s="5">
        <f t="shared" ref="E23:I23" ca="1" si="10">SUM(E21:E22)</f>
        <v>-136.374638671875</v>
      </c>
      <c r="F23" s="5">
        <f t="shared" ca="1" si="10"/>
        <v>-141.24099609375</v>
      </c>
      <c r="G23" s="5">
        <f t="shared" ca="1" si="10"/>
        <v>-170.18202697753907</v>
      </c>
      <c r="H23" s="5">
        <f t="shared" ca="1" si="10"/>
        <v>-166.89302360534668</v>
      </c>
      <c r="I23" s="5">
        <f t="shared" ca="1" si="10"/>
        <v>-164.01514565467835</v>
      </c>
    </row>
    <row r="25" spans="1:9" s="5" customFormat="1" x14ac:dyDescent="0.2">
      <c r="A25" s="5" t="s">
        <v>25</v>
      </c>
      <c r="B25" s="5">
        <f>SUM(B19,B23)</f>
        <v>28.000000000000114</v>
      </c>
      <c r="C25" s="5">
        <f>SUM(C19,C23)</f>
        <v>151.30000000000032</v>
      </c>
      <c r="D25" s="5">
        <f ca="1">SUM(D19,D23)</f>
        <v>127.68771125629775</v>
      </c>
      <c r="E25" s="5">
        <f t="shared" ref="E25:I25" ca="1" si="11">SUM(E19,E23)</f>
        <v>210.63335077402365</v>
      </c>
      <c r="F25" s="5">
        <f t="shared" ca="1" si="11"/>
        <v>255.97870348549262</v>
      </c>
      <c r="G25" s="5">
        <f t="shared" ca="1" si="11"/>
        <v>276.83812730293477</v>
      </c>
      <c r="H25" s="5">
        <f t="shared" ca="1" si="11"/>
        <v>330.09102589338653</v>
      </c>
      <c r="I25" s="5">
        <f t="shared" ca="1" si="11"/>
        <v>383.71944422280444</v>
      </c>
    </row>
    <row r="27" spans="1:9" x14ac:dyDescent="0.2">
      <c r="A27" t="s">
        <v>23</v>
      </c>
      <c r="B27" s="176">
        <f>-'Input (agree Daten)'!C331</f>
        <v>-4.2</v>
      </c>
      <c r="C27" s="176">
        <f>-'Input (agree Daten)'!E331</f>
        <v>-7.7</v>
      </c>
      <c r="D27">
        <f ca="1">D25*'Input (Annahmen)'!D15</f>
        <v>-33.326492637893715</v>
      </c>
      <c r="E27">
        <f ca="1">E25*'Input (Annahmen)'!E15</f>
        <v>-63.190005232207092</v>
      </c>
      <c r="F27">
        <f ca="1">F25*'Input (Annahmen)'!F15</f>
        <v>-89.592546219922411</v>
      </c>
      <c r="G27">
        <f ca="1">G25*'Input (Annahmen)'!G15</f>
        <v>-96.893344556027159</v>
      </c>
      <c r="H27">
        <f ca="1">H25*'Input (Annahmen)'!H15</f>
        <v>-122.13367958055301</v>
      </c>
      <c r="I27">
        <f ca="1">I25*'Input (Annahmen)'!I15</f>
        <v>-141.97619436243764</v>
      </c>
    </row>
    <row r="28" spans="1:9" s="5" customFormat="1" x14ac:dyDescent="0.2">
      <c r="A28" s="5" t="s">
        <v>24</v>
      </c>
      <c r="B28" s="5">
        <f>SUM(B25:B27)</f>
        <v>23.800000000000114</v>
      </c>
      <c r="C28" s="5">
        <f>SUM(C25:C27)</f>
        <v>143.60000000000034</v>
      </c>
      <c r="D28" s="5">
        <f ca="1">SUM(D25:D27)</f>
        <v>94.361218618404024</v>
      </c>
      <c r="E28" s="5">
        <f t="shared" ref="E28:I28" ca="1" si="12">SUM(E25:E27)</f>
        <v>147.44334554181657</v>
      </c>
      <c r="F28" s="5">
        <f t="shared" ca="1" si="12"/>
        <v>166.3861572655702</v>
      </c>
      <c r="G28" s="5">
        <f t="shared" ca="1" si="12"/>
        <v>179.94478274690761</v>
      </c>
      <c r="H28" s="5">
        <f t="shared" ca="1" si="12"/>
        <v>207.95734631283352</v>
      </c>
      <c r="I28" s="5">
        <f t="shared" ca="1" si="12"/>
        <v>241.7432498603668</v>
      </c>
    </row>
    <row r="30" spans="1:9" s="5" customFormat="1" x14ac:dyDescent="0.2">
      <c r="A30" s="5" t="s">
        <v>92</v>
      </c>
      <c r="B30" s="5">
        <f>B28</f>
        <v>23.800000000000114</v>
      </c>
      <c r="C30" s="5">
        <f t="shared" ref="C30:I30" si="13">C28</f>
        <v>143.60000000000034</v>
      </c>
      <c r="D30" s="5">
        <f t="shared" ca="1" si="13"/>
        <v>94.361218618404024</v>
      </c>
      <c r="E30" s="5">
        <f t="shared" ca="1" si="13"/>
        <v>147.44334554181657</v>
      </c>
      <c r="F30" s="5">
        <f t="shared" ca="1" si="13"/>
        <v>166.3861572655702</v>
      </c>
      <c r="G30" s="5">
        <f t="shared" ca="1" si="13"/>
        <v>179.94478274690761</v>
      </c>
      <c r="H30" s="5">
        <f t="shared" ca="1" si="13"/>
        <v>207.95734631283352</v>
      </c>
      <c r="I30" s="5">
        <f t="shared" ca="1" si="13"/>
        <v>241.7432498603668</v>
      </c>
    </row>
    <row r="32" spans="1:9" x14ac:dyDescent="0.2">
      <c r="A32" t="s">
        <v>26</v>
      </c>
      <c r="B32" s="178">
        <f>B19-B18</f>
        <v>592.40000000000009</v>
      </c>
      <c r="C32" s="178">
        <f>C19-C18</f>
        <v>685.90000000000032</v>
      </c>
      <c r="D32" s="13">
        <f>D19-D18</f>
        <v>710.3160224999998</v>
      </c>
      <c r="E32" s="13">
        <f>E19-E18</f>
        <v>792.30109612499984</v>
      </c>
      <c r="F32" s="13">
        <f t="shared" ref="F32:I32" si="14">F19-F18</f>
        <v>831.91615093125029</v>
      </c>
      <c r="G32" s="13">
        <f t="shared" si="14"/>
        <v>873.51195847781287</v>
      </c>
      <c r="H32" s="13">
        <f t="shared" si="14"/>
        <v>917.18755640170355</v>
      </c>
      <c r="I32" s="13">
        <f t="shared" si="14"/>
        <v>963.04693422178889</v>
      </c>
    </row>
  </sheetData>
  <pageMargins left="0.70866141732283472" right="0.70866141732283472" top="0.78740157480314965" bottom="0.78740157480314965" header="0.31496062992125984" footer="0.31496062992125984"/>
  <pageSetup paperSize="9" scale="82" orientation="landscape" r:id="rId1"/>
  <headerFooter>
    <oddHeader xml:space="preserve">&amp;L&amp;"-,Fett"Stand: &amp;"-,Standard"&amp;D &amp;T&amp;R&amp;"-,Fett"Datei: &amp;"-,Standard"&amp;F | &amp;"-,Fett"Tab:&amp;"-,Standard" &amp;A     </oddHeader>
    <oddFooter>&amp;RSeite &amp;P von &amp;N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5B8D1-2BFE-4F75-B298-84300064504D}">
  <sheetPr>
    <tabColor theme="4"/>
  </sheetPr>
  <dimension ref="A1:I46"/>
  <sheetViews>
    <sheetView showGridLines="0" zoomScaleNormal="100" workbookViewId="0">
      <pane ySplit="3" topLeftCell="A4" activePane="bottomLeft" state="frozen"/>
      <selection activeCell="W24" sqref="W24"/>
      <selection pane="bottomLeft" activeCell="L31" sqref="L31"/>
    </sheetView>
  </sheetViews>
  <sheetFormatPr baseColWidth="10" defaultRowHeight="15" x14ac:dyDescent="0.2"/>
  <cols>
    <col min="1" max="1" width="37.83203125" customWidth="1"/>
    <col min="4" max="9" width="10.83203125" style="181"/>
  </cols>
  <sheetData>
    <row r="1" spans="1:9" ht="45" x14ac:dyDescent="0.45">
      <c r="A1" s="4" t="str">
        <f>Controls!A1</f>
        <v>Forecast: Kundennamen</v>
      </c>
    </row>
    <row r="2" spans="1:9" x14ac:dyDescent="0.2">
      <c r="A2" s="5" t="str" cm="1">
        <f t="array" aca="1" ref="A2" ca="1">MID(CELL("dateiname",A1),SEARCH("]",CELL("dateiname",A1))+1,31)</f>
        <v>Bilanz</v>
      </c>
    </row>
    <row r="3" spans="1:9" s="6" customFormat="1" ht="16" thickBot="1" x14ac:dyDescent="0.25">
      <c r="A3" s="6" t="s">
        <v>5</v>
      </c>
      <c r="B3" s="19">
        <f>Controls!B7</f>
        <v>45291</v>
      </c>
      <c r="C3" s="7">
        <f t="shared" ref="C3:D3" si="0">DATE(YEAR(B3)+1,MONTH(B3),DAY(B3))</f>
        <v>45657</v>
      </c>
      <c r="D3" s="8">
        <f t="shared" si="0"/>
        <v>46022</v>
      </c>
      <c r="E3" s="8">
        <f t="shared" ref="E3" si="1">DATE(YEAR(D3)+1,MONTH(D3),DAY(D3))</f>
        <v>46387</v>
      </c>
      <c r="F3" s="8">
        <f t="shared" ref="F3" si="2">DATE(YEAR(E3)+1,MONTH(E3),DAY(E3))</f>
        <v>46752</v>
      </c>
      <c r="G3" s="8">
        <f t="shared" ref="G3" si="3">DATE(YEAR(F3)+1,MONTH(F3),DAY(F3))</f>
        <v>47118</v>
      </c>
      <c r="H3" s="8">
        <f t="shared" ref="H3" si="4">DATE(YEAR(G3)+1,MONTH(G3),DAY(G3))</f>
        <v>47483</v>
      </c>
      <c r="I3" s="8">
        <f t="shared" ref="I3" si="5">DATE(YEAR(H3)+1,MONTH(H3),DAY(H3))</f>
        <v>47848</v>
      </c>
    </row>
    <row r="5" spans="1:9" s="5" customFormat="1" x14ac:dyDescent="0.2">
      <c r="A5" s="5" t="s">
        <v>27</v>
      </c>
    </row>
    <row r="7" spans="1:9" x14ac:dyDescent="0.2">
      <c r="A7" t="s">
        <v>28</v>
      </c>
      <c r="B7" s="177">
        <f>'Input (agree Daten)'!C64</f>
        <v>2.8</v>
      </c>
      <c r="C7" s="176">
        <f>'Input (agree Daten)'!E64</f>
        <v>4.2</v>
      </c>
      <c r="D7" s="182">
        <f>'Side Calcs'!D9</f>
        <v>8.5259999999999998</v>
      </c>
      <c r="E7" s="182">
        <f>'Side Calcs'!E9</f>
        <v>14.42658</v>
      </c>
      <c r="F7" s="182">
        <f>'Side Calcs'!F9</f>
        <v>22.428701399999998</v>
      </c>
      <c r="G7" s="182">
        <f>'Side Calcs'!G9</f>
        <v>33.233590362000001</v>
      </c>
      <c r="H7" s="182">
        <f>'Side Calcs'!H9</f>
        <v>47.774263556459999</v>
      </c>
      <c r="I7" s="182">
        <f>'Side Calcs'!I9</f>
        <v>67.292038323841808</v>
      </c>
    </row>
    <row r="8" spans="1:9" x14ac:dyDescent="0.2">
      <c r="A8" t="s">
        <v>58</v>
      </c>
      <c r="B8" s="176">
        <f>SUM('Input (agree Daten)'!C65:C68)</f>
        <v>3810.7999999999997</v>
      </c>
      <c r="C8" s="176">
        <f>SUM('Input (agree Daten)'!E65:E68)</f>
        <v>4061.7</v>
      </c>
      <c r="D8" s="183">
        <f>'Side Calcs'!D15</f>
        <v>3955.6288200062977</v>
      </c>
      <c r="E8" s="182">
        <f>'Side Calcs'!E15</f>
        <v>3879.2763133271969</v>
      </c>
      <c r="F8" s="182">
        <f>'Side Calcs'!F15</f>
        <v>3830.1609795751892</v>
      </c>
      <c r="G8" s="182">
        <f>'Side Calcs'!G15</f>
        <v>3806.1266873658501</v>
      </c>
      <c r="H8" s="182">
        <f>'Side Calcs'!H15</f>
        <v>3805.3080282659198</v>
      </c>
      <c r="I8" s="182">
        <f>'Side Calcs'!I15</f>
        <v>3826.0997062016072</v>
      </c>
    </row>
    <row r="9" spans="1:9" x14ac:dyDescent="0.2">
      <c r="A9" t="s">
        <v>29</v>
      </c>
      <c r="B9" s="176">
        <f>SUM('Input (agree Daten)'!C71:C78)</f>
        <v>0</v>
      </c>
      <c r="C9" s="176">
        <f>SUM('Input (agree Daten)'!E71:E78)</f>
        <v>0</v>
      </c>
      <c r="D9" s="184">
        <f>'Input (Annahmen)'!D20</f>
        <v>0</v>
      </c>
      <c r="E9" s="184">
        <f>'Input (Annahmen)'!E20</f>
        <v>0</v>
      </c>
      <c r="F9" s="184">
        <f>'Input (Annahmen)'!F20</f>
        <v>0</v>
      </c>
      <c r="G9" s="184">
        <f>'Input (Annahmen)'!G20</f>
        <v>0</v>
      </c>
      <c r="H9" s="184">
        <f>'Input (Annahmen)'!H20</f>
        <v>0</v>
      </c>
      <c r="I9" s="184">
        <f>'Input (Annahmen)'!I20</f>
        <v>0</v>
      </c>
    </row>
    <row r="10" spans="1:9" s="5" customFormat="1" x14ac:dyDescent="0.2">
      <c r="A10" s="5" t="s">
        <v>30</v>
      </c>
      <c r="B10" s="5">
        <f>SUM(B7:B9)</f>
        <v>3813.6</v>
      </c>
      <c r="C10" s="5">
        <f>SUM(C7:C9)</f>
        <v>4065.8999999999996</v>
      </c>
      <c r="D10" s="5">
        <f>SUM(D7:D9)</f>
        <v>3964.1548200062975</v>
      </c>
      <c r="E10" s="5">
        <f t="shared" ref="E10:I10" si="6">SUM(E7:E9)</f>
        <v>3893.7028933271968</v>
      </c>
      <c r="F10" s="5">
        <f t="shared" si="6"/>
        <v>3852.5896809751894</v>
      </c>
      <c r="G10" s="5">
        <f t="shared" si="6"/>
        <v>3839.3602777278502</v>
      </c>
      <c r="H10" s="5">
        <f t="shared" si="6"/>
        <v>3853.0822918223798</v>
      </c>
      <c r="I10" s="5">
        <f t="shared" si="6"/>
        <v>3893.3917445254492</v>
      </c>
    </row>
    <row r="12" spans="1:9" x14ac:dyDescent="0.2">
      <c r="A12" t="s">
        <v>31</v>
      </c>
      <c r="B12" s="176">
        <f>'Input (agree Daten)'!C82+'Input (agree Daten)'!C83-'Input (agree Daten)'!C84+'Input (agree Daten)'!C86+'Input (agree Daten)'!C87+'Input (agree Daten)'!C88</f>
        <v>41</v>
      </c>
      <c r="C12" s="176">
        <f>'Input (agree Daten)'!E82+'Input (agree Daten)'!E83-'Input (agree Daten)'!E84+'Input (agree Daten)'!E86+'Input (agree Daten)'!E87+'Input (agree Daten)'!E88</f>
        <v>105.69999999999999</v>
      </c>
      <c r="D12" s="182">
        <f>'Side Calcs'!D18</f>
        <v>45.832707123287669</v>
      </c>
      <c r="E12" s="182">
        <f>'Side Calcs'!E18</f>
        <v>46.520197730136985</v>
      </c>
      <c r="F12" s="182">
        <f>'Side Calcs'!F18</f>
        <v>48.846207616643838</v>
      </c>
      <c r="G12" s="182">
        <f>'Side Calcs'!G18</f>
        <v>51.288517997476028</v>
      </c>
      <c r="H12" s="182">
        <f>'Side Calcs'!H18</f>
        <v>53.852943897349832</v>
      </c>
      <c r="I12" s="182">
        <f>'Side Calcs'!I18</f>
        <v>56.545591092217329</v>
      </c>
    </row>
    <row r="13" spans="1:9" x14ac:dyDescent="0.2">
      <c r="A13" t="s">
        <v>32</v>
      </c>
      <c r="B13" s="176">
        <f>'Input (agree Daten)'!C90</f>
        <v>834.2</v>
      </c>
      <c r="C13" s="176">
        <f>'Input (agree Daten)'!E90</f>
        <v>546.9</v>
      </c>
      <c r="D13" s="182">
        <f>'Side Calcs'!D21</f>
        <v>1091.2549315068493</v>
      </c>
      <c r="E13" s="182">
        <f>'Side Calcs'!E21</f>
        <v>1145.8176780821918</v>
      </c>
      <c r="F13" s="182">
        <f>'Side Calcs'!F21</f>
        <v>1203.1085619863015</v>
      </c>
      <c r="G13" s="182">
        <f>'Side Calcs'!G21</f>
        <v>1263.2639900856166</v>
      </c>
      <c r="H13" s="182">
        <f>'Side Calcs'!H21</f>
        <v>1326.4271895898976</v>
      </c>
      <c r="I13" s="182">
        <f>'Side Calcs'!I21</f>
        <v>1392.7485490693925</v>
      </c>
    </row>
    <row r="14" spans="1:9" x14ac:dyDescent="0.2">
      <c r="A14" t="s">
        <v>59</v>
      </c>
      <c r="B14" s="176">
        <f>SUM('Input (agree Daten)'!C91:C95,'Input (agree Daten)'!C97:C99,'Input (agree Daten)'!C108,'Input (agree Daten)'!C109,'Input (agree Daten)'!C111)</f>
        <v>46.599999999999994</v>
      </c>
      <c r="C14" s="176">
        <f>SUM('Input (agree Daten)'!E91:E95,'Input (agree Daten)'!E97:E99,'Input (agree Daten)'!E108,'Input (agree Daten)'!E109,'Input (agree Daten)'!E111)</f>
        <v>115.9</v>
      </c>
      <c r="D14" s="184">
        <f>'Input (Annahmen)'!D21</f>
        <v>115.9</v>
      </c>
      <c r="E14" s="184">
        <f>'Input (Annahmen)'!E21</f>
        <v>115.9</v>
      </c>
      <c r="F14" s="184">
        <f>'Input (Annahmen)'!F21</f>
        <v>115.9</v>
      </c>
      <c r="G14" s="184">
        <f>'Input (Annahmen)'!G21</f>
        <v>115.9</v>
      </c>
      <c r="H14" s="184">
        <f>'Input (Annahmen)'!H21</f>
        <v>115.9</v>
      </c>
      <c r="I14" s="184">
        <f>'Input (Annahmen)'!I21</f>
        <v>115.9</v>
      </c>
    </row>
    <row r="15" spans="1:9" x14ac:dyDescent="0.2">
      <c r="A15" t="s">
        <v>90</v>
      </c>
      <c r="B15" s="1">
        <v>0</v>
      </c>
      <c r="C15" s="1">
        <v>0</v>
      </c>
      <c r="D15" s="185">
        <f ca="1">MAX(0,CashflowStatement!D40)</f>
        <v>98.409308132654047</v>
      </c>
      <c r="E15" s="185">
        <f ca="1">MAX(0,CashflowStatement!E40)</f>
        <v>126.66416581864016</v>
      </c>
      <c r="F15" s="185">
        <f ca="1">MAX(0,CashflowStatement!F40)</f>
        <v>148.4370117479987</v>
      </c>
      <c r="G15" s="185">
        <f ca="1">MAX(0,CashflowStatement!G40)</f>
        <v>166.63142892430272</v>
      </c>
      <c r="H15" s="185">
        <f ca="1">MAX(0,CashflowStatement!H40)</f>
        <v>189.41694980661816</v>
      </c>
      <c r="I15" s="185">
        <f ca="1">MAX(0,CashflowStatement!I40)</f>
        <v>221.57252274362338</v>
      </c>
    </row>
    <row r="16" spans="1:9" x14ac:dyDescent="0.2">
      <c r="A16" t="s">
        <v>34</v>
      </c>
      <c r="B16" s="176">
        <f>'Input (agree Daten)'!C101+'Input (agree Daten)'!C102</f>
        <v>26.4</v>
      </c>
      <c r="C16" s="176">
        <f>'Input (agree Daten)'!E101+'Input (agree Daten)'!E102</f>
        <v>34.5</v>
      </c>
      <c r="D16" s="181">
        <f>'Input (Annahmen)'!D22*GuV!D7</f>
        <v>48.682095000000004</v>
      </c>
      <c r="E16" s="181">
        <f>'Input (Annahmen)'!E22*GuV!E7</f>
        <v>51.116199750000007</v>
      </c>
      <c r="F16" s="181">
        <f>'Input (Annahmen)'!F22*GuV!F7</f>
        <v>53.672009737500005</v>
      </c>
      <c r="G16" s="181">
        <f>'Input (Annahmen)'!G22*GuV!G7</f>
        <v>56.355610224375006</v>
      </c>
      <c r="H16" s="181">
        <f>'Input (Annahmen)'!H22*GuV!H7</f>
        <v>59.173390735593763</v>
      </c>
      <c r="I16" s="181">
        <f>'Input (Annahmen)'!I22*GuV!I7</f>
        <v>62.132060272373458</v>
      </c>
    </row>
    <row r="17" spans="1:9" s="5" customFormat="1" x14ac:dyDescent="0.2">
      <c r="A17" s="5" t="s">
        <v>35</v>
      </c>
      <c r="B17" s="5">
        <f>SUM(B12:B16)</f>
        <v>948.2</v>
      </c>
      <c r="C17" s="5">
        <f>SUM(C12:C16)</f>
        <v>802.99999999999989</v>
      </c>
      <c r="D17" s="5">
        <f ca="1">SUM(D12:D16)</f>
        <v>1400.0790417627913</v>
      </c>
      <c r="E17" s="5">
        <f t="shared" ref="E17:I17" ca="1" si="7">SUM(E12:E16)</f>
        <v>1486.0182413809691</v>
      </c>
      <c r="F17" s="5">
        <f t="shared" ca="1" si="7"/>
        <v>1569.9637910884442</v>
      </c>
      <c r="G17" s="5">
        <f t="shared" ca="1" si="7"/>
        <v>1653.4395472317703</v>
      </c>
      <c r="H17" s="5">
        <f t="shared" ca="1" si="7"/>
        <v>1744.7704740294594</v>
      </c>
      <c r="I17" s="5">
        <f t="shared" ca="1" si="7"/>
        <v>1848.8987231776068</v>
      </c>
    </row>
    <row r="19" spans="1:9" s="5" customFormat="1" x14ac:dyDescent="0.2">
      <c r="A19" s="5" t="s">
        <v>36</v>
      </c>
      <c r="B19" s="5">
        <f>SUM(B10,B17)</f>
        <v>4761.8</v>
      </c>
      <c r="C19" s="5">
        <f>SUM(C10,C17)</f>
        <v>4868.8999999999996</v>
      </c>
      <c r="D19" s="5">
        <f ca="1">SUM(D10,D17)</f>
        <v>5364.2338617690893</v>
      </c>
      <c r="E19" s="5">
        <f t="shared" ref="E19:I19" ca="1" si="8">SUM(E10,E17)</f>
        <v>5379.7211347081657</v>
      </c>
      <c r="F19" s="5">
        <f t="shared" ca="1" si="8"/>
        <v>5422.5534720636333</v>
      </c>
      <c r="G19" s="5">
        <f t="shared" ca="1" si="8"/>
        <v>5492.7998249596203</v>
      </c>
      <c r="H19" s="5">
        <f t="shared" ca="1" si="8"/>
        <v>5597.8527658518396</v>
      </c>
      <c r="I19" s="5">
        <f t="shared" ca="1" si="8"/>
        <v>5742.2904677030565</v>
      </c>
    </row>
    <row r="22" spans="1:9" s="5" customFormat="1" x14ac:dyDescent="0.2">
      <c r="A22" s="5" t="s">
        <v>37</v>
      </c>
    </row>
    <row r="24" spans="1:9" x14ac:dyDescent="0.2">
      <c r="A24" t="s">
        <v>38</v>
      </c>
      <c r="B24" s="176">
        <f>'Input (agree Daten)'!C127</f>
        <v>-20.3</v>
      </c>
      <c r="C24" s="176">
        <f>'Input (agree Daten)'!E127</f>
        <v>-41.8</v>
      </c>
      <c r="D24" s="184">
        <f>'Input (Annahmen)'!D23</f>
        <v>-41.8</v>
      </c>
      <c r="E24" s="184">
        <f>'Input (Annahmen)'!E23</f>
        <v>-41.8</v>
      </c>
      <c r="F24" s="184">
        <f>'Input (Annahmen)'!F23</f>
        <v>-41.8</v>
      </c>
      <c r="G24" s="184">
        <f>'Input (Annahmen)'!G23</f>
        <v>-41.8</v>
      </c>
      <c r="H24" s="184">
        <f>'Input (Annahmen)'!H23</f>
        <v>-41.8</v>
      </c>
      <c r="I24" s="184">
        <f>'Input (Annahmen)'!I23</f>
        <v>-41.8</v>
      </c>
    </row>
    <row r="25" spans="1:9" x14ac:dyDescent="0.2">
      <c r="A25" t="s">
        <v>39</v>
      </c>
      <c r="B25" s="176">
        <f>'Input (agree Daten)'!C134+'Input (agree Daten)'!C135</f>
        <v>91.3</v>
      </c>
      <c r="C25" s="176">
        <f>'Input (agree Daten)'!E134+'Input (agree Daten)'!E135</f>
        <v>91.3</v>
      </c>
      <c r="D25" s="184">
        <f>'Input (Annahmen)'!D24</f>
        <v>91.3</v>
      </c>
      <c r="E25" s="184">
        <f>'Input (Annahmen)'!E24</f>
        <v>91.3</v>
      </c>
      <c r="F25" s="184">
        <f>'Input (Annahmen)'!F24</f>
        <v>91.3</v>
      </c>
      <c r="G25" s="184">
        <f>'Input (Annahmen)'!G24</f>
        <v>91.3</v>
      </c>
      <c r="H25" s="184">
        <f>'Input (Annahmen)'!H24</f>
        <v>91.3</v>
      </c>
      <c r="I25" s="184">
        <f>'Input (Annahmen)'!I24</f>
        <v>91.3</v>
      </c>
    </row>
    <row r="26" spans="1:9" x14ac:dyDescent="0.2">
      <c r="A26" t="s">
        <v>189</v>
      </c>
      <c r="B26" s="176">
        <f>SUM('Input (agree Daten)'!C137:C144)</f>
        <v>51</v>
      </c>
      <c r="C26" s="176">
        <f>SUM('Input (agree Daten)'!E137:E144)</f>
        <v>91.8</v>
      </c>
      <c r="D26" s="182">
        <f ca="1">'Side Calcs'!D33</f>
        <v>111.16121861840401</v>
      </c>
      <c r="E26" s="182">
        <f ca="1">'Side Calcs'!E33</f>
        <v>179.85456416022055</v>
      </c>
      <c r="F26" s="182">
        <f ca="1">'Side Calcs'!F33</f>
        <v>263.55322142579075</v>
      </c>
      <c r="G26" s="182">
        <f ca="1">'Side Calcs'!G33</f>
        <v>356.67612917269832</v>
      </c>
      <c r="H26" s="182">
        <f ca="1">'Side Calcs'!H33</f>
        <v>473.47050673553179</v>
      </c>
      <c r="I26" s="182">
        <f ca="1">'Side Calcs'!I33</f>
        <v>619.49263940839853</v>
      </c>
    </row>
    <row r="27" spans="1:9" s="5" customFormat="1" x14ac:dyDescent="0.2">
      <c r="A27" s="5" t="s">
        <v>41</v>
      </c>
      <c r="B27" s="5">
        <f>SUM(B24:B26)</f>
        <v>122</v>
      </c>
      <c r="C27" s="5">
        <f>SUM(C24:C26)</f>
        <v>141.30000000000001</v>
      </c>
      <c r="D27" s="5">
        <f ca="1">SUM(D24:D26)</f>
        <v>160.66121861840401</v>
      </c>
      <c r="E27" s="5">
        <f t="shared" ref="E27:I27" ca="1" si="9">SUM(E24:E26)</f>
        <v>229.35456416022055</v>
      </c>
      <c r="F27" s="5">
        <f t="shared" ca="1" si="9"/>
        <v>313.05322142579075</v>
      </c>
      <c r="G27" s="5">
        <f t="shared" ca="1" si="9"/>
        <v>406.17612917269832</v>
      </c>
      <c r="H27" s="5">
        <f t="shared" ca="1" si="9"/>
        <v>522.97050673553179</v>
      </c>
      <c r="I27" s="5">
        <f t="shared" ca="1" si="9"/>
        <v>668.99263940839853</v>
      </c>
    </row>
    <row r="29" spans="1:9" x14ac:dyDescent="0.2">
      <c r="A29" t="s">
        <v>202</v>
      </c>
      <c r="B29" s="176">
        <f>-'Input (agree Daten)'!C158+SUM('Input (agree Daten)'!C159:C163)</f>
        <v>-26.1</v>
      </c>
      <c r="C29" s="176">
        <f>-'Input (agree Daten)'!E158+SUM('Input (agree Daten)'!E159:E163)</f>
        <v>-41.3</v>
      </c>
      <c r="D29" s="182">
        <f>'Side Calcs'!D40</f>
        <v>98.7</v>
      </c>
      <c r="E29" s="182">
        <f>'Side Calcs'!E40</f>
        <v>98.7</v>
      </c>
      <c r="F29" s="182">
        <f>'Side Calcs'!F40</f>
        <v>98.7</v>
      </c>
      <c r="G29" s="182">
        <f>'Side Calcs'!G40</f>
        <v>98.7</v>
      </c>
      <c r="H29" s="182">
        <f>'Side Calcs'!H40</f>
        <v>98.7</v>
      </c>
      <c r="I29" s="182">
        <f>'Side Calcs'!I40</f>
        <v>98.7</v>
      </c>
    </row>
    <row r="30" spans="1:9" s="5" customFormat="1" x14ac:dyDescent="0.2">
      <c r="A30" s="5" t="s">
        <v>42</v>
      </c>
      <c r="B30" s="5">
        <f>SUM(B27:B29)</f>
        <v>95.9</v>
      </c>
      <c r="C30" s="5">
        <f>SUM(C27:C29)</f>
        <v>100.00000000000001</v>
      </c>
      <c r="D30" s="5">
        <f ca="1">SUM(D27:D29)</f>
        <v>259.361218618404</v>
      </c>
      <c r="E30" s="5">
        <f t="shared" ref="E30:I30" ca="1" si="10">SUM(E27:E29)</f>
        <v>328.05456416022054</v>
      </c>
      <c r="F30" s="5">
        <f t="shared" ca="1" si="10"/>
        <v>411.75322142579074</v>
      </c>
      <c r="G30" s="5">
        <f t="shared" ca="1" si="10"/>
        <v>504.87612917269831</v>
      </c>
      <c r="H30" s="5">
        <f t="shared" ca="1" si="10"/>
        <v>621.67050673553183</v>
      </c>
      <c r="I30" s="5">
        <f t="shared" ca="1" si="10"/>
        <v>767.69263940839858</v>
      </c>
    </row>
    <row r="32" spans="1:9" x14ac:dyDescent="0.2">
      <c r="A32" t="s">
        <v>43</v>
      </c>
      <c r="B32" s="176">
        <f>'Input (agree Daten)'!C166</f>
        <v>0</v>
      </c>
      <c r="C32" s="176">
        <f>'Input (agree Daten)'!E166</f>
        <v>0</v>
      </c>
      <c r="D32" s="181">
        <f>'Input (Annahmen)'!D25*GuV!D7</f>
        <v>0</v>
      </c>
      <c r="E32" s="181">
        <f>'Input (Annahmen)'!E25*GuV!E7</f>
        <v>0</v>
      </c>
      <c r="F32" s="181">
        <f>'Input (Annahmen)'!F25*GuV!F7</f>
        <v>0</v>
      </c>
      <c r="G32" s="181">
        <f>'Input (Annahmen)'!G25*GuV!G7</f>
        <v>0</v>
      </c>
      <c r="H32" s="181">
        <f>'Input (Annahmen)'!H25*GuV!H7</f>
        <v>0</v>
      </c>
      <c r="I32" s="181">
        <f>'Input (Annahmen)'!I25*GuV!I7</f>
        <v>0</v>
      </c>
    </row>
    <row r="33" spans="1:9" x14ac:dyDescent="0.2">
      <c r="A33" t="s">
        <v>48</v>
      </c>
      <c r="B33" s="176">
        <f>'Input (agree Daten)'!C171</f>
        <v>3414.5</v>
      </c>
      <c r="C33" s="176">
        <f>'Input (agree Daten)'!E171</f>
        <v>3382.5</v>
      </c>
      <c r="D33" s="182">
        <f>'Debt schedule'!D9</f>
        <v>3419.6875</v>
      </c>
      <c r="E33" s="183">
        <f>'Debt schedule'!E9</f>
        <v>3327.2265625</v>
      </c>
      <c r="F33" s="182">
        <f>'Debt schedule'!F9</f>
        <v>3241.3232421875</v>
      </c>
      <c r="G33" s="182">
        <f>'Debt schedule'!G9</f>
        <v>3171.1578369140625</v>
      </c>
      <c r="H33" s="182">
        <f>'Debt schedule'!H9</f>
        <v>3109.7631072998047</v>
      </c>
      <c r="I33" s="182">
        <f>'Debt schedule'!I9</f>
        <v>3056.0427188873291</v>
      </c>
    </row>
    <row r="34" spans="1:9" x14ac:dyDescent="0.2">
      <c r="A34" t="s">
        <v>44</v>
      </c>
      <c r="B34" s="176">
        <f>SUM('Input (agree Daten)'!C167:C168,'Input (agree Daten)'!C170,'Input (agree Daten)'!C173:C177,'Input (agree Daten)'!C179:C185,'Input (agree Daten)'!C218)</f>
        <v>327.39999999999998</v>
      </c>
      <c r="C34" s="176">
        <f>SUM('Input (agree Daten)'!E167:E168,'Input (agree Daten)'!E170,'Input (agree Daten)'!E173:E177,'Input (agree Daten)'!E179:E185,'Input (agree Daten)'!E218)</f>
        <v>823.7</v>
      </c>
      <c r="D34" s="184">
        <f>'Input (Annahmen)'!D26</f>
        <v>823.7</v>
      </c>
      <c r="E34" s="184">
        <f>'Input (Annahmen)'!E26</f>
        <v>823.7</v>
      </c>
      <c r="F34" s="184">
        <f>'Input (Annahmen)'!F26</f>
        <v>823.7</v>
      </c>
      <c r="G34" s="184">
        <f>'Input (Annahmen)'!G26</f>
        <v>823.7</v>
      </c>
      <c r="H34" s="184">
        <f>'Input (Annahmen)'!H26</f>
        <v>823.7</v>
      </c>
      <c r="I34" s="184">
        <f>'Input (Annahmen)'!I26</f>
        <v>823.7</v>
      </c>
    </row>
    <row r="35" spans="1:9" s="5" customFormat="1" x14ac:dyDescent="0.2">
      <c r="A35" s="5" t="s">
        <v>45</v>
      </c>
      <c r="B35" s="5">
        <f>SUM(B32:B34)</f>
        <v>3741.9</v>
      </c>
      <c r="C35" s="5">
        <f>SUM(C32:C34)</f>
        <v>4206.2</v>
      </c>
      <c r="D35" s="5">
        <f>SUM(D32:D34)</f>
        <v>4243.3874999999998</v>
      </c>
      <c r="E35" s="5">
        <f t="shared" ref="E35:I35" si="11">SUM(E32:E34)</f>
        <v>4150.9265624999998</v>
      </c>
      <c r="F35" s="5">
        <f t="shared" si="11"/>
        <v>4065.0232421874998</v>
      </c>
      <c r="G35" s="5">
        <f t="shared" si="11"/>
        <v>3994.8578369140623</v>
      </c>
      <c r="H35" s="5">
        <f t="shared" si="11"/>
        <v>3933.4631072998045</v>
      </c>
      <c r="I35" s="5">
        <f t="shared" si="11"/>
        <v>3879.7427188873289</v>
      </c>
    </row>
    <row r="37" spans="1:9" x14ac:dyDescent="0.2">
      <c r="A37" t="s">
        <v>46</v>
      </c>
      <c r="B37" s="176">
        <f>'Input (agree Daten)'!C205+'Input (agree Daten)'!C206</f>
        <v>287.60000000000002</v>
      </c>
      <c r="C37" s="176">
        <f>'Input (agree Daten)'!E205+'Input (agree Daten)'!E206</f>
        <v>214.4</v>
      </c>
      <c r="D37" s="182">
        <f>'Side Calcs'!D24</f>
        <v>109.12549315068493</v>
      </c>
      <c r="E37" s="182">
        <f>'Side Calcs'!E24</f>
        <v>110.76237554794521</v>
      </c>
      <c r="F37" s="182">
        <f>'Side Calcs'!F24</f>
        <v>116.30049432534247</v>
      </c>
      <c r="G37" s="182">
        <f>'Side Calcs'!G24</f>
        <v>122.1155190416096</v>
      </c>
      <c r="H37" s="182">
        <f>'Side Calcs'!H24</f>
        <v>128.22129499369009</v>
      </c>
      <c r="I37" s="182">
        <f>'Side Calcs'!I24</f>
        <v>134.63235974337459</v>
      </c>
    </row>
    <row r="38" spans="1:9" ht="16" thickBot="1" x14ac:dyDescent="0.25">
      <c r="A38" t="s">
        <v>47</v>
      </c>
      <c r="B38" s="176">
        <f>'Input (agree Daten)'!C196</f>
        <v>259.89999999999998</v>
      </c>
      <c r="C38" s="176">
        <f>'Input (agree Daten)'!E196</f>
        <v>69.900000000000006</v>
      </c>
      <c r="D38" s="182">
        <f>'Debt schedule'!D19</f>
        <v>0</v>
      </c>
      <c r="E38" s="182">
        <f>'Debt schedule'!E19</f>
        <v>0</v>
      </c>
      <c r="F38" s="182">
        <f>'Debt schedule'!F19</f>
        <v>0</v>
      </c>
      <c r="G38" s="182">
        <f>'Debt schedule'!G19</f>
        <v>0</v>
      </c>
      <c r="H38" s="182">
        <f>'Debt schedule'!H19</f>
        <v>0</v>
      </c>
      <c r="I38" s="182">
        <f>'Debt schedule'!I19</f>
        <v>0</v>
      </c>
    </row>
    <row r="39" spans="1:9" s="34" customFormat="1" ht="16" thickBot="1" x14ac:dyDescent="0.25">
      <c r="A39" s="33" t="s">
        <v>212</v>
      </c>
      <c r="D39" s="186">
        <f ca="1">-MIN(0,CashflowStatement!D40)</f>
        <v>0</v>
      </c>
      <c r="E39" s="186">
        <f ca="1">-MIN(0,CashflowStatement!E40)</f>
        <v>0</v>
      </c>
      <c r="F39" s="186">
        <f ca="1">-MIN(0,CashflowStatement!F40)</f>
        <v>0</v>
      </c>
      <c r="G39" s="186">
        <f ca="1">-MIN(0,CashflowStatement!G40)</f>
        <v>0</v>
      </c>
      <c r="H39" s="186">
        <f ca="1">-MIN(0,CashflowStatement!H40)</f>
        <v>0</v>
      </c>
      <c r="I39" s="186">
        <f ca="1">-MIN(0,CashflowStatement!I40)</f>
        <v>0</v>
      </c>
    </row>
    <row r="40" spans="1:9" x14ac:dyDescent="0.2">
      <c r="A40" t="s">
        <v>50</v>
      </c>
      <c r="B40" s="176">
        <f>'Input (agree Daten)'!C191+'Input (agree Daten)'!C192+'Input (agree Daten)'!C193+SUM('Input (agree Daten)'!C195,'Input (agree Daten)'!C198:C202,'Input (agree Daten)'!C207:C211,'Input (agree Daten)'!C213,'Input (agree Daten)'!C216)</f>
        <v>376.5</v>
      </c>
      <c r="C40" s="176">
        <f>'Input (agree Daten)'!E191+'Input (agree Daten)'!E192+'Input (agree Daten)'!E193+SUM('Input (agree Daten)'!E195,'Input (agree Daten)'!E198:E202,'Input (agree Daten)'!E207:E211,'Input (agree Daten)'!E213,'Input (agree Daten)'!E216)</f>
        <v>278.39999999999998</v>
      </c>
      <c r="D40" s="184">
        <f>'Input (Annahmen)'!D27</f>
        <v>752.3596500000001</v>
      </c>
      <c r="E40" s="184">
        <f>'Input (Annahmen)'!E27</f>
        <v>789.97763250000014</v>
      </c>
      <c r="F40" s="184">
        <f>'Input (Annahmen)'!F27</f>
        <v>829.47651412500022</v>
      </c>
      <c r="G40" s="184">
        <f>'Input (Annahmen)'!G27</f>
        <v>870.95033983125029</v>
      </c>
      <c r="H40" s="184">
        <f>'Input (Annahmen)'!H27</f>
        <v>914.49785682281276</v>
      </c>
      <c r="I40" s="184">
        <f>'Input (Annahmen)'!I27</f>
        <v>960.22274966395355</v>
      </c>
    </row>
    <row r="41" spans="1:9" s="5" customFormat="1" x14ac:dyDescent="0.2">
      <c r="A41" s="5" t="s">
        <v>51</v>
      </c>
      <c r="B41" s="5">
        <f>SUM(B37:B40)</f>
        <v>924</v>
      </c>
      <c r="C41" s="5">
        <f>SUM(C37:C40)</f>
        <v>562.70000000000005</v>
      </c>
      <c r="D41" s="5">
        <f ca="1">SUM(D37:D40)</f>
        <v>861.48514315068508</v>
      </c>
      <c r="E41" s="5">
        <f t="shared" ref="E41:I41" ca="1" si="12">SUM(E37:E40)</f>
        <v>900.74000804794537</v>
      </c>
      <c r="F41" s="5">
        <f t="shared" ca="1" si="12"/>
        <v>945.77700845034269</v>
      </c>
      <c r="G41" s="5">
        <f t="shared" ca="1" si="12"/>
        <v>993.06585887285985</v>
      </c>
      <c r="H41" s="5">
        <f t="shared" ca="1" si="12"/>
        <v>1042.7191518165027</v>
      </c>
      <c r="I41" s="5">
        <f t="shared" ca="1" si="12"/>
        <v>1094.8551094073282</v>
      </c>
    </row>
    <row r="43" spans="1:9" s="5" customFormat="1" x14ac:dyDescent="0.2">
      <c r="A43" s="5" t="s">
        <v>36</v>
      </c>
      <c r="B43" s="5">
        <f>SUM(B30,B35,B41)</f>
        <v>4761.8</v>
      </c>
      <c r="C43" s="5">
        <f>SUM(C30,C35,C41)</f>
        <v>4868.8999999999996</v>
      </c>
      <c r="D43" s="5">
        <f ca="1">SUM(D30,D35,D41)</f>
        <v>5364.2338617690884</v>
      </c>
      <c r="E43" s="5">
        <f t="shared" ref="E43:I43" ca="1" si="13">SUM(E30,E35,E41)</f>
        <v>5379.7211347081657</v>
      </c>
      <c r="F43" s="5">
        <f t="shared" ca="1" si="13"/>
        <v>5422.5534720636333</v>
      </c>
      <c r="G43" s="5">
        <f t="shared" ca="1" si="13"/>
        <v>5492.7998249596212</v>
      </c>
      <c r="H43" s="5">
        <f t="shared" ca="1" si="13"/>
        <v>5597.8527658518387</v>
      </c>
      <c r="I43" s="5">
        <f t="shared" ca="1" si="13"/>
        <v>5742.2904677030556</v>
      </c>
    </row>
    <row r="45" spans="1:9" s="9" customFormat="1" x14ac:dyDescent="0.2">
      <c r="A45" s="9" t="s">
        <v>52</v>
      </c>
      <c r="B45" s="17" t="str">
        <f>IF(ROUND(B19-B43,5)=0,"OK",B19-B43)</f>
        <v>OK</v>
      </c>
      <c r="C45" s="17" t="str">
        <f>IF(ROUND(C19-C43,5)=0,"OK",C19-C43)</f>
        <v>OK</v>
      </c>
      <c r="D45" s="17" t="str">
        <f ca="1">IF(ROUND(D19-D43,5)=0,"OK",D19-D43)</f>
        <v>OK</v>
      </c>
      <c r="E45" s="17" t="str">
        <f t="shared" ref="E45:I45" ca="1" si="14">IF(ROUND(E19-E43,5)=0,"OK",E19-E43)</f>
        <v>OK</v>
      </c>
      <c r="F45" s="17" t="str">
        <f t="shared" ca="1" si="14"/>
        <v>OK</v>
      </c>
      <c r="G45" s="17" t="str">
        <f t="shared" ca="1" si="14"/>
        <v>OK</v>
      </c>
      <c r="H45" s="17" t="str">
        <f t="shared" ca="1" si="14"/>
        <v>OK</v>
      </c>
      <c r="I45" s="17" t="str">
        <f t="shared" ca="1" si="14"/>
        <v>OK</v>
      </c>
    </row>
    <row r="46" spans="1:9" x14ac:dyDescent="0.2">
      <c r="A46" s="10"/>
    </row>
  </sheetData>
  <pageMargins left="0.70866141732283472" right="0.70866141732283472" top="0.78740157480314965" bottom="0.78740157480314965" header="0.31496062992125984" footer="0.31496062992125984"/>
  <pageSetup paperSize="9" scale="93" orientation="landscape" r:id="rId1"/>
  <headerFooter>
    <oddHeader xml:space="preserve">&amp;L&amp;"-,Fett"Stand: &amp;"-,Standard"&amp;D &amp;T&amp;R&amp;"-,Fett"Datei: &amp;"-,Standard"&amp;F | &amp;"-,Fett"Tab:&amp;"-,Standard" &amp;A     </oddHeader>
    <oddFooter>&amp;RSeite &amp;P von &amp;N</oddFooter>
  </headerFooter>
  <rowBreaks count="1" manualBreakCount="1">
    <brk id="20" max="9" man="1"/>
  </rowBreaks>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8B4ED-858B-42B3-9B2B-66CC31CFBECC}">
  <sheetPr>
    <tabColor theme="4"/>
  </sheetPr>
  <dimension ref="A1:I40"/>
  <sheetViews>
    <sheetView showGridLines="0" zoomScaleNormal="100" workbookViewId="0">
      <pane ySplit="3" topLeftCell="A4" activePane="bottomLeft" state="frozen"/>
      <selection activeCell="W24" sqref="W24"/>
      <selection pane="bottomLeft" activeCell="E44" sqref="E44"/>
    </sheetView>
  </sheetViews>
  <sheetFormatPr baseColWidth="10" defaultRowHeight="15" x14ac:dyDescent="0.2"/>
  <cols>
    <col min="1" max="1" width="56.6640625" customWidth="1"/>
    <col min="7" max="9" width="12.1640625" bestFit="1" customWidth="1"/>
  </cols>
  <sheetData>
    <row r="1" spans="1:9" ht="45" x14ac:dyDescent="0.45">
      <c r="A1" s="4" t="str">
        <f>Controls!A1</f>
        <v>Forecast: Kundennamen</v>
      </c>
    </row>
    <row r="2" spans="1:9" x14ac:dyDescent="0.2">
      <c r="A2" s="5" t="str" cm="1">
        <f t="array" aca="1" ref="A2" ca="1">MID(CELL("dateiname",A1),SEARCH("]",CELL("dateiname",A1))+1,31)</f>
        <v>CashflowStatement</v>
      </c>
    </row>
    <row r="3" spans="1:9" s="6" customFormat="1" ht="16" thickBot="1" x14ac:dyDescent="0.25">
      <c r="A3" s="6" t="s">
        <v>5</v>
      </c>
      <c r="B3" s="19">
        <f>Controls!B7</f>
        <v>45291</v>
      </c>
      <c r="C3" s="7">
        <f t="shared" ref="C3:D3" si="0">DATE(YEAR(B3)+1,MONTH(B3),DAY(B3))</f>
        <v>45657</v>
      </c>
      <c r="D3" s="8">
        <f t="shared" si="0"/>
        <v>46022</v>
      </c>
      <c r="E3" s="8">
        <f t="shared" ref="E3" si="1">DATE(YEAR(D3)+1,MONTH(D3),DAY(D3))</f>
        <v>46387</v>
      </c>
      <c r="F3" s="8">
        <f t="shared" ref="F3" si="2">DATE(YEAR(E3)+1,MONTH(E3),DAY(E3))</f>
        <v>46752</v>
      </c>
      <c r="G3" s="8">
        <f t="shared" ref="G3" si="3">DATE(YEAR(F3)+1,MONTH(F3),DAY(F3))</f>
        <v>47118</v>
      </c>
      <c r="H3" s="8">
        <f t="shared" ref="H3" si="4">DATE(YEAR(G3)+1,MONTH(G3),DAY(G3))</f>
        <v>47483</v>
      </c>
      <c r="I3" s="8">
        <f t="shared" ref="I3" si="5">DATE(YEAR(H3)+1,MONTH(H3),DAY(H3))</f>
        <v>47848</v>
      </c>
    </row>
    <row r="5" spans="1:9" s="5" customFormat="1" x14ac:dyDescent="0.2">
      <c r="A5" s="5" t="s">
        <v>142</v>
      </c>
    </row>
    <row r="6" spans="1:9" x14ac:dyDescent="0.2">
      <c r="A6" t="str">
        <f>GuV!A28</f>
        <v>Betriebsergebnis nach Steuern (Net income)</v>
      </c>
      <c r="D6" s="2">
        <f ca="1">GuV!D28</f>
        <v>94.361218618404024</v>
      </c>
      <c r="E6" s="2">
        <f ca="1">GuV!E28</f>
        <v>147.44334554181657</v>
      </c>
      <c r="F6" s="2">
        <f ca="1">GuV!F28</f>
        <v>166.3861572655702</v>
      </c>
      <c r="G6" s="2">
        <f ca="1">GuV!G28</f>
        <v>179.94478274690761</v>
      </c>
      <c r="H6" s="2">
        <f ca="1">GuV!H28</f>
        <v>207.95734631283352</v>
      </c>
      <c r="I6" s="2">
        <f ca="1">GuV!I28</f>
        <v>241.7432498603668</v>
      </c>
    </row>
    <row r="7" spans="1:9" x14ac:dyDescent="0.2">
      <c r="A7" t="s">
        <v>123</v>
      </c>
      <c r="D7" s="2">
        <f>-'Side Calcs'!D8</f>
        <v>-1.3860000000000001</v>
      </c>
      <c r="E7" s="2">
        <f>-'Side Calcs'!E8</f>
        <v>-2.81358</v>
      </c>
      <c r="F7" s="2">
        <f>-'Side Calcs'!F8</f>
        <v>-4.7607714000000003</v>
      </c>
      <c r="G7" s="2">
        <f>-'Side Calcs'!G8</f>
        <v>-7.4014714619999999</v>
      </c>
      <c r="H7" s="2">
        <f>-'Side Calcs'!H8</f>
        <v>-10.96708481946</v>
      </c>
      <c r="I7" s="2">
        <f>-'Side Calcs'!I8</f>
        <v>-15.765506973631801</v>
      </c>
    </row>
    <row r="8" spans="1:9" x14ac:dyDescent="0.2">
      <c r="A8" t="s">
        <v>124</v>
      </c>
      <c r="D8" s="2">
        <f>-'Side Calcs'!D14</f>
        <v>460.12277999370207</v>
      </c>
      <c r="E8" s="2">
        <f>-'Side Calcs'!E14</f>
        <v>448.10668667910119</v>
      </c>
      <c r="F8" s="2">
        <f>-'Side Calcs'!F14</f>
        <v>439.45722275200768</v>
      </c>
      <c r="G8" s="2">
        <f>-'Side Calcs'!G14</f>
        <v>433.89327565933905</v>
      </c>
      <c r="H8" s="2">
        <f>-'Side Calcs'!H14</f>
        <v>431.17059172243034</v>
      </c>
      <c r="I8" s="2">
        <f>-'Side Calcs'!I14</f>
        <v>431.07785131793787</v>
      </c>
    </row>
    <row r="9" spans="1:9" x14ac:dyDescent="0.2">
      <c r="A9" t="s">
        <v>125</v>
      </c>
      <c r="D9">
        <f>Bilanz!C9-Bilanz!D9</f>
        <v>0</v>
      </c>
      <c r="E9">
        <f>Bilanz!D9-Bilanz!E9</f>
        <v>0</v>
      </c>
      <c r="F9">
        <f>Bilanz!E9-Bilanz!F9</f>
        <v>0</v>
      </c>
      <c r="G9">
        <f>Bilanz!F9-Bilanz!G9</f>
        <v>0</v>
      </c>
      <c r="H9">
        <f>Bilanz!G9-Bilanz!H9</f>
        <v>0</v>
      </c>
      <c r="I9">
        <f>Bilanz!H9-Bilanz!I9</f>
        <v>0</v>
      </c>
    </row>
    <row r="10" spans="1:9" x14ac:dyDescent="0.2">
      <c r="A10" t="s">
        <v>126</v>
      </c>
      <c r="D10">
        <f>Bilanz!C12-Bilanz!D12</f>
        <v>59.86729287671232</v>
      </c>
      <c r="E10">
        <f>Bilanz!D12-Bilanz!E12</f>
        <v>-0.68749060684931607</v>
      </c>
      <c r="F10">
        <f>Bilanz!E12-Bilanz!F12</f>
        <v>-2.3260098865068528</v>
      </c>
      <c r="G10">
        <f>Bilanz!F12-Bilanz!G12</f>
        <v>-2.4423103808321898</v>
      </c>
      <c r="H10">
        <f>Bilanz!G12-Bilanz!H12</f>
        <v>-2.5644258998738039</v>
      </c>
      <c r="I10">
        <f>Bilanz!H12-Bilanz!I12</f>
        <v>-2.6926471948674973</v>
      </c>
    </row>
    <row r="11" spans="1:9" x14ac:dyDescent="0.2">
      <c r="A11" t="s">
        <v>127</v>
      </c>
      <c r="D11">
        <f>Bilanz!C13-Bilanz!D13</f>
        <v>-544.35493150684931</v>
      </c>
      <c r="E11">
        <f>Bilanz!D13-Bilanz!E13</f>
        <v>-54.562746575342544</v>
      </c>
      <c r="F11">
        <f>Bilanz!E13-Bilanz!F13</f>
        <v>-57.290883904109705</v>
      </c>
      <c r="G11">
        <f>Bilanz!F13-Bilanz!G13</f>
        <v>-60.155428099315031</v>
      </c>
      <c r="H11">
        <f>Bilanz!G13-Bilanz!H13</f>
        <v>-63.16319950428101</v>
      </c>
      <c r="I11">
        <f>Bilanz!H13-Bilanz!I13</f>
        <v>-66.321359479494959</v>
      </c>
    </row>
    <row r="12" spans="1:9" x14ac:dyDescent="0.2">
      <c r="A12" t="s">
        <v>128</v>
      </c>
      <c r="D12">
        <f>Bilanz!C14-Bilanz!D14</f>
        <v>0</v>
      </c>
      <c r="E12">
        <f>Bilanz!D14-Bilanz!E14</f>
        <v>0</v>
      </c>
      <c r="F12">
        <f>Bilanz!E14-Bilanz!F14</f>
        <v>0</v>
      </c>
      <c r="G12">
        <f>Bilanz!F14-Bilanz!G14</f>
        <v>0</v>
      </c>
      <c r="H12">
        <f>Bilanz!G14-Bilanz!H14</f>
        <v>0</v>
      </c>
      <c r="I12">
        <f>Bilanz!H14-Bilanz!I14</f>
        <v>0</v>
      </c>
    </row>
    <row r="13" spans="1:9" x14ac:dyDescent="0.2">
      <c r="A13" t="s">
        <v>129</v>
      </c>
      <c r="D13">
        <f>Bilanz!C16-Bilanz!D16</f>
        <v>-14.182095000000004</v>
      </c>
      <c r="E13">
        <f>Bilanz!D16-Bilanz!E16</f>
        <v>-2.434104750000003</v>
      </c>
      <c r="F13">
        <f>Bilanz!E16-Bilanz!F16</f>
        <v>-2.5558099874999982</v>
      </c>
      <c r="G13">
        <f>Bilanz!F16-Bilanz!G16</f>
        <v>-2.683600486875001</v>
      </c>
      <c r="H13">
        <f>Bilanz!G16-Bilanz!H16</f>
        <v>-2.8177805112187571</v>
      </c>
      <c r="I13">
        <f>Bilanz!H16-Bilanz!I16</f>
        <v>-2.9586695367796949</v>
      </c>
    </row>
    <row r="14" spans="1:9" x14ac:dyDescent="0.2">
      <c r="A14" t="s">
        <v>133</v>
      </c>
      <c r="D14">
        <f>Bilanz!D32-Bilanz!C32</f>
        <v>0</v>
      </c>
      <c r="E14">
        <f>Bilanz!E32-Bilanz!D32</f>
        <v>0</v>
      </c>
      <c r="F14">
        <f>Bilanz!F32-Bilanz!E32</f>
        <v>0</v>
      </c>
      <c r="G14">
        <f>Bilanz!G32-Bilanz!F32</f>
        <v>0</v>
      </c>
      <c r="H14">
        <f>Bilanz!H32-Bilanz!G32</f>
        <v>0</v>
      </c>
      <c r="I14">
        <f>Bilanz!I32-Bilanz!H32</f>
        <v>0</v>
      </c>
    </row>
    <row r="15" spans="1:9" x14ac:dyDescent="0.2">
      <c r="A15" t="s">
        <v>135</v>
      </c>
      <c r="D15">
        <f>Bilanz!D34-Bilanz!C34</f>
        <v>0</v>
      </c>
      <c r="E15">
        <f>Bilanz!E34-Bilanz!D34</f>
        <v>0</v>
      </c>
      <c r="F15">
        <f>Bilanz!F34-Bilanz!E34</f>
        <v>0</v>
      </c>
      <c r="G15">
        <f>Bilanz!G34-Bilanz!F34</f>
        <v>0</v>
      </c>
      <c r="H15">
        <f>Bilanz!H34-Bilanz!G34</f>
        <v>0</v>
      </c>
      <c r="I15">
        <f>Bilanz!I34-Bilanz!H34</f>
        <v>0</v>
      </c>
    </row>
    <row r="16" spans="1:9" x14ac:dyDescent="0.2">
      <c r="A16" t="s">
        <v>136</v>
      </c>
      <c r="D16">
        <f>Bilanz!D37-Bilanz!C37</f>
        <v>-105.27450684931507</v>
      </c>
      <c r="E16">
        <f>Bilanz!E37-Bilanz!D37</f>
        <v>1.6368823972602797</v>
      </c>
      <c r="F16">
        <f>Bilanz!F37-Bilanz!E37</f>
        <v>5.5381187773972584</v>
      </c>
      <c r="G16">
        <f>Bilanz!G37-Bilanz!F37</f>
        <v>5.815024716267132</v>
      </c>
      <c r="H16">
        <f>Bilanz!H37-Bilanz!G37</f>
        <v>6.1057759520804922</v>
      </c>
      <c r="I16">
        <f>Bilanz!I37-Bilanz!H37</f>
        <v>6.411064749684499</v>
      </c>
    </row>
    <row r="17" spans="1:9" x14ac:dyDescent="0.2">
      <c r="A17" t="s">
        <v>138</v>
      </c>
      <c r="D17">
        <f>Bilanz!D40-Bilanz!C40</f>
        <v>473.95965000000012</v>
      </c>
      <c r="E17">
        <f>Bilanz!E40-Bilanz!D40</f>
        <v>37.617982500000039</v>
      </c>
      <c r="F17">
        <f>Bilanz!F40-Bilanz!E40</f>
        <v>39.498881625000081</v>
      </c>
      <c r="G17">
        <f>Bilanz!G40-Bilanz!F40</f>
        <v>41.473825706250068</v>
      </c>
      <c r="H17">
        <f>Bilanz!H40-Bilanz!G40</f>
        <v>43.547516991562475</v>
      </c>
      <c r="I17">
        <f>Bilanz!I40-Bilanz!H40</f>
        <v>45.724892841140786</v>
      </c>
    </row>
    <row r="18" spans="1:9" s="5" customFormat="1" x14ac:dyDescent="0.2">
      <c r="A18" s="5" t="s">
        <v>139</v>
      </c>
      <c r="D18" s="5">
        <f ca="1">SUM(D6:D17)</f>
        <v>423.11340813265411</v>
      </c>
      <c r="E18" s="5">
        <f t="shared" ref="E18:I18" ca="1" si="6">SUM(E6:E17)</f>
        <v>574.30697518598618</v>
      </c>
      <c r="F18" s="5">
        <f t="shared" ca="1" si="6"/>
        <v>583.94690524185864</v>
      </c>
      <c r="G18" s="5">
        <f t="shared" ca="1" si="6"/>
        <v>588.44409839974162</v>
      </c>
      <c r="H18" s="5">
        <f t="shared" ca="1" si="6"/>
        <v>609.26874024407334</v>
      </c>
      <c r="I18" s="5">
        <f t="shared" ca="1" si="6"/>
        <v>637.21887558435594</v>
      </c>
    </row>
    <row r="20" spans="1:9" s="5" customFormat="1" x14ac:dyDescent="0.2">
      <c r="A20" s="5" t="s">
        <v>143</v>
      </c>
    </row>
    <row r="21" spans="1:9" x14ac:dyDescent="0.2">
      <c r="A21" t="s">
        <v>187</v>
      </c>
      <c r="D21">
        <f>-'Side Calcs'!D7</f>
        <v>-2.94</v>
      </c>
      <c r="E21">
        <f>-'Side Calcs'!E7</f>
        <v>-3.0869999999999997</v>
      </c>
      <c r="F21">
        <f>-'Side Calcs'!F7</f>
        <v>-3.2413500000000002</v>
      </c>
      <c r="G21">
        <f>-'Side Calcs'!G7</f>
        <v>-3.4034175000000002</v>
      </c>
      <c r="H21">
        <f>-'Side Calcs'!H7</f>
        <v>-3.5735883749999999</v>
      </c>
      <c r="I21">
        <f>-'Side Calcs'!I7</f>
        <v>-3.7522677937500006</v>
      </c>
    </row>
    <row r="22" spans="1:9" x14ac:dyDescent="0.2">
      <c r="A22" t="s">
        <v>188</v>
      </c>
      <c r="D22">
        <f>-'Side Calcs'!D13</f>
        <v>-354.05160000000006</v>
      </c>
      <c r="E22">
        <f>-'Side Calcs'!E13</f>
        <v>-371.75418000000008</v>
      </c>
      <c r="F22">
        <f>-'Side Calcs'!F13</f>
        <v>-390.34188900000009</v>
      </c>
      <c r="G22">
        <f>-'Side Calcs'!G13</f>
        <v>-409.8589834500001</v>
      </c>
      <c r="H22">
        <f>-'Side Calcs'!H13</f>
        <v>-430.3519326225001</v>
      </c>
      <c r="I22">
        <f>-'Side Calcs'!I13</f>
        <v>-451.86952925362516</v>
      </c>
    </row>
    <row r="23" spans="1:9" s="5" customFormat="1" x14ac:dyDescent="0.2">
      <c r="A23" s="5" t="s">
        <v>140</v>
      </c>
      <c r="D23" s="5">
        <f>SUM(D21:D22)</f>
        <v>-356.99160000000006</v>
      </c>
      <c r="E23" s="5">
        <f t="shared" ref="E23:I23" si="7">SUM(E21:E22)</f>
        <v>-374.84118000000007</v>
      </c>
      <c r="F23" s="5">
        <f t="shared" si="7"/>
        <v>-393.58323900000011</v>
      </c>
      <c r="G23" s="5">
        <f t="shared" si="7"/>
        <v>-413.26240095000009</v>
      </c>
      <c r="H23" s="5">
        <f t="shared" si="7"/>
        <v>-433.92552099750009</v>
      </c>
      <c r="I23" s="5">
        <f t="shared" si="7"/>
        <v>-455.62179704737514</v>
      </c>
    </row>
    <row r="25" spans="1:9" s="5" customFormat="1" x14ac:dyDescent="0.2">
      <c r="A25" s="5" t="s">
        <v>144</v>
      </c>
    </row>
    <row r="26" spans="1:9" x14ac:dyDescent="0.2">
      <c r="A26" t="s">
        <v>130</v>
      </c>
      <c r="D26">
        <f>Bilanz!D24-Bilanz!C24</f>
        <v>0</v>
      </c>
      <c r="E26">
        <f>Bilanz!E24-Bilanz!D24</f>
        <v>0</v>
      </c>
      <c r="F26">
        <f>Bilanz!F24-Bilanz!E24</f>
        <v>0</v>
      </c>
      <c r="G26">
        <f>Bilanz!G24-Bilanz!F24</f>
        <v>0</v>
      </c>
      <c r="H26">
        <f>Bilanz!H24-Bilanz!G24</f>
        <v>0</v>
      </c>
      <c r="I26">
        <f>Bilanz!I24-Bilanz!H24</f>
        <v>0</v>
      </c>
    </row>
    <row r="27" spans="1:9" x14ac:dyDescent="0.2">
      <c r="A27" t="s">
        <v>131</v>
      </c>
      <c r="D27">
        <f>Bilanz!D25-Bilanz!C25</f>
        <v>0</v>
      </c>
      <c r="E27">
        <f>Bilanz!E25-Bilanz!D25</f>
        <v>0</v>
      </c>
      <c r="F27">
        <f>Bilanz!F25-Bilanz!E25</f>
        <v>0</v>
      </c>
      <c r="G27">
        <f>Bilanz!G25-Bilanz!F25</f>
        <v>0</v>
      </c>
      <c r="H27">
        <f>Bilanz!H25-Bilanz!G25</f>
        <v>0</v>
      </c>
      <c r="I27">
        <f>Bilanz!I25-Bilanz!H25</f>
        <v>0</v>
      </c>
    </row>
    <row r="28" spans="1:9" x14ac:dyDescent="0.2">
      <c r="A28" t="s">
        <v>132</v>
      </c>
      <c r="D28">
        <f>'Side Calcs'!D32</f>
        <v>-75</v>
      </c>
      <c r="E28">
        <f>'Side Calcs'!E32</f>
        <v>-78.75</v>
      </c>
      <c r="F28">
        <f>'Side Calcs'!F32</f>
        <v>-82.6875</v>
      </c>
      <c r="G28">
        <f>'Side Calcs'!G32</f>
        <v>-86.821875000000006</v>
      </c>
      <c r="H28">
        <f>'Side Calcs'!H32</f>
        <v>-91.162968750000005</v>
      </c>
      <c r="I28">
        <f>'Side Calcs'!I32</f>
        <v>-95.721117187500013</v>
      </c>
    </row>
    <row r="29" spans="1:9" x14ac:dyDescent="0.2">
      <c r="A29" t="s">
        <v>203</v>
      </c>
      <c r="D29">
        <f>'Side Calcs'!D40-'Side Calcs'!D37</f>
        <v>140</v>
      </c>
      <c r="E29">
        <f>'Side Calcs'!E40-'Side Calcs'!E37</f>
        <v>0</v>
      </c>
      <c r="F29">
        <f>'Side Calcs'!F40-'Side Calcs'!F37</f>
        <v>0</v>
      </c>
      <c r="G29">
        <f>'Side Calcs'!G40-'Side Calcs'!G37</f>
        <v>0</v>
      </c>
      <c r="H29">
        <f>'Side Calcs'!H40-'Side Calcs'!H37</f>
        <v>0</v>
      </c>
      <c r="I29">
        <f>'Side Calcs'!I40-'Side Calcs'!I37</f>
        <v>0</v>
      </c>
    </row>
    <row r="30" spans="1:9" x14ac:dyDescent="0.2">
      <c r="A30" t="s">
        <v>134</v>
      </c>
      <c r="D30">
        <f>Bilanz!D33-Bilanz!C33</f>
        <v>37.1875</v>
      </c>
      <c r="E30">
        <f>Bilanz!E33-Bilanz!D33</f>
        <v>-92.4609375</v>
      </c>
      <c r="F30">
        <f>Bilanz!F33-Bilanz!E33</f>
        <v>-85.9033203125</v>
      </c>
      <c r="G30">
        <f>Bilanz!G33-Bilanz!F33</f>
        <v>-70.1654052734375</v>
      </c>
      <c r="H30">
        <f>Bilanz!H33-Bilanz!G33</f>
        <v>-61.394729614257812</v>
      </c>
      <c r="I30">
        <f>Bilanz!I33-Bilanz!H33</f>
        <v>-53.720388412475586</v>
      </c>
    </row>
    <row r="31" spans="1:9" x14ac:dyDescent="0.2">
      <c r="A31" t="s">
        <v>137</v>
      </c>
      <c r="D31">
        <f>Bilanz!D38-Bilanz!C38</f>
        <v>-69.900000000000006</v>
      </c>
      <c r="E31">
        <f>Bilanz!E38-Bilanz!D38</f>
        <v>0</v>
      </c>
      <c r="F31">
        <f>Bilanz!F38-Bilanz!E38</f>
        <v>0</v>
      </c>
      <c r="G31">
        <f>Bilanz!G38-Bilanz!F38</f>
        <v>0</v>
      </c>
      <c r="H31">
        <f>Bilanz!H38-Bilanz!G38</f>
        <v>0</v>
      </c>
      <c r="I31">
        <f>Bilanz!I38-Bilanz!H38</f>
        <v>0</v>
      </c>
    </row>
    <row r="32" spans="1:9" s="5" customFormat="1" x14ac:dyDescent="0.2">
      <c r="A32" s="5" t="s">
        <v>141</v>
      </c>
      <c r="D32" s="5">
        <f>SUM(D26:D31)</f>
        <v>32.287499999999994</v>
      </c>
      <c r="E32" s="5">
        <f t="shared" ref="E32:I32" si="8">SUM(E26:E31)</f>
        <v>-171.2109375</v>
      </c>
      <c r="F32" s="5">
        <f t="shared" si="8"/>
        <v>-168.5908203125</v>
      </c>
      <c r="G32" s="5">
        <f t="shared" si="8"/>
        <v>-156.98728027343751</v>
      </c>
      <c r="H32" s="5">
        <f t="shared" si="8"/>
        <v>-152.55769836425782</v>
      </c>
      <c r="I32" s="5">
        <f t="shared" si="8"/>
        <v>-149.44150559997559</v>
      </c>
    </row>
    <row r="34" spans="1:9" s="5" customFormat="1" x14ac:dyDescent="0.2">
      <c r="A34" s="5" t="s">
        <v>145</v>
      </c>
      <c r="D34" s="5">
        <f ca="1">SUM(D18,D23,D32)</f>
        <v>98.409308132654047</v>
      </c>
      <c r="E34" s="5">
        <f ca="1">SUM(E18,E23,E32)</f>
        <v>28.25485768598611</v>
      </c>
      <c r="F34" s="5">
        <f t="shared" ref="F34:I34" ca="1" si="9">SUM(F18,F23,F32)</f>
        <v>21.772845929358539</v>
      </c>
      <c r="G34" s="5">
        <f t="shared" ca="1" si="9"/>
        <v>18.194417176304029</v>
      </c>
      <c r="H34" s="5">
        <f t="shared" ca="1" si="9"/>
        <v>22.785520882315438</v>
      </c>
      <c r="I34" s="5">
        <f t="shared" ca="1" si="9"/>
        <v>32.155572937005218</v>
      </c>
    </row>
    <row r="37" spans="1:9" s="5" customFormat="1" x14ac:dyDescent="0.2">
      <c r="A37" s="5" t="s">
        <v>146</v>
      </c>
      <c r="D37" s="2"/>
      <c r="E37" s="2"/>
      <c r="F37" s="2"/>
      <c r="G37" s="2"/>
      <c r="H37" s="2"/>
      <c r="I37" s="2"/>
    </row>
    <row r="38" spans="1:9" x14ac:dyDescent="0.2">
      <c r="A38" t="s">
        <v>149</v>
      </c>
      <c r="D38" s="180">
        <f>C40</f>
        <v>0</v>
      </c>
      <c r="E38" s="180">
        <f t="shared" ref="E38:I38" ca="1" si="10">D40</f>
        <v>98.409308132654047</v>
      </c>
      <c r="F38" s="180">
        <f t="shared" ca="1" si="10"/>
        <v>126.66416581864016</v>
      </c>
      <c r="G38" s="180">
        <f t="shared" ca="1" si="10"/>
        <v>148.4370117479987</v>
      </c>
      <c r="H38" s="180">
        <f t="shared" ca="1" si="10"/>
        <v>166.63142892430272</v>
      </c>
      <c r="I38" s="180">
        <f t="shared" ca="1" si="10"/>
        <v>189.41694980661816</v>
      </c>
    </row>
    <row r="39" spans="1:9" x14ac:dyDescent="0.2">
      <c r="A39" t="s">
        <v>147</v>
      </c>
      <c r="D39" s="180">
        <f ca="1">D34</f>
        <v>98.409308132654047</v>
      </c>
      <c r="E39" s="180">
        <f t="shared" ref="E39:I39" ca="1" si="11">E34</f>
        <v>28.25485768598611</v>
      </c>
      <c r="F39" s="180">
        <f t="shared" ca="1" si="11"/>
        <v>21.772845929358539</v>
      </c>
      <c r="G39" s="180">
        <f t="shared" ca="1" si="11"/>
        <v>18.194417176304029</v>
      </c>
      <c r="H39" s="180">
        <f t="shared" ca="1" si="11"/>
        <v>22.785520882315438</v>
      </c>
      <c r="I39" s="180">
        <f t="shared" ca="1" si="11"/>
        <v>32.155572937005218</v>
      </c>
    </row>
    <row r="40" spans="1:9" s="5" customFormat="1" x14ac:dyDescent="0.2">
      <c r="A40" s="5" t="s">
        <v>148</v>
      </c>
      <c r="C40" s="5">
        <f>Bilanz!C15-Bilanz!C39</f>
        <v>0</v>
      </c>
      <c r="D40" s="5">
        <f ca="1">SUM(D38:D39)</f>
        <v>98.409308132654047</v>
      </c>
      <c r="E40" s="5">
        <f t="shared" ref="E40:I40" ca="1" si="12">SUM(E38:E39)</f>
        <v>126.66416581864016</v>
      </c>
      <c r="F40" s="5">
        <f t="shared" ca="1" si="12"/>
        <v>148.4370117479987</v>
      </c>
      <c r="G40" s="5">
        <f t="shared" ca="1" si="12"/>
        <v>166.63142892430272</v>
      </c>
      <c r="H40" s="5">
        <f t="shared" ca="1" si="12"/>
        <v>189.41694980661816</v>
      </c>
      <c r="I40" s="5">
        <f t="shared" ca="1" si="12"/>
        <v>221.57252274362338</v>
      </c>
    </row>
  </sheetData>
  <pageMargins left="0.70866141732283472" right="0.70866141732283472" top="0.78740157480314965" bottom="0.78740157480314965" header="0.31496062992125984" footer="0.31496062992125984"/>
  <pageSetup paperSize="9" scale="87" orientation="landscape" r:id="rId1"/>
  <headerFooter>
    <oddHeader xml:space="preserve">&amp;L&amp;"-,Fett"Stand: &amp;"-,Standard"&amp;D &amp;T&amp;R&amp;"-,Fett"Datei: &amp;"-,Standard"&amp;F | &amp;"-,Fett"Tab:&amp;"-,Standard" &amp;A     </oddHeader>
    <oddFooter>&amp;RSeite &amp;P von &amp;N</oddFooter>
  </headerFooter>
  <rowBreaks count="1" manualBreakCount="1">
    <brk id="35"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0FF7B-EDC8-4E7E-94AD-946B97E582F2}">
  <sheetPr>
    <tabColor theme="4"/>
  </sheetPr>
  <dimension ref="A1:I43"/>
  <sheetViews>
    <sheetView showGridLines="0" zoomScaleNormal="100" workbookViewId="0">
      <pane ySplit="3" topLeftCell="A4" activePane="bottomLeft" state="frozen"/>
      <selection activeCell="W24" sqref="W24"/>
      <selection pane="bottomLeft" activeCell="C7" sqref="C7"/>
    </sheetView>
  </sheetViews>
  <sheetFormatPr baseColWidth="10" defaultRowHeight="15" x14ac:dyDescent="0.2"/>
  <cols>
    <col min="1" max="1" width="47.1640625" customWidth="1"/>
  </cols>
  <sheetData>
    <row r="1" spans="1:9" ht="45" x14ac:dyDescent="0.45">
      <c r="A1" s="4" t="str">
        <f>Controls!A1</f>
        <v>Forecast: Kundennamen</v>
      </c>
    </row>
    <row r="2" spans="1:9" x14ac:dyDescent="0.2">
      <c r="A2" s="5" t="str" cm="1">
        <f t="array" aca="1" ref="A2" ca="1">MID(CELL("dateiname",A1),SEARCH("]",CELL("dateiname",A1))+1,31)</f>
        <v>Side Calcs</v>
      </c>
    </row>
    <row r="3" spans="1:9" s="6" customFormat="1" ht="16" thickBot="1" x14ac:dyDescent="0.25">
      <c r="A3" s="6" t="s">
        <v>5</v>
      </c>
      <c r="B3" s="19">
        <f>Controls!B7</f>
        <v>45291</v>
      </c>
      <c r="C3" s="7">
        <f t="shared" ref="C3:D3" si="0">DATE(YEAR(B3)+1,MONTH(B3),DAY(B3))</f>
        <v>45657</v>
      </c>
      <c r="D3" s="8">
        <f t="shared" si="0"/>
        <v>46022</v>
      </c>
      <c r="E3" s="8">
        <f t="shared" ref="E3" si="1">DATE(YEAR(D3)+1,MONTH(D3),DAY(D3))</f>
        <v>46387</v>
      </c>
      <c r="F3" s="8">
        <f t="shared" ref="F3" si="2">DATE(YEAR(E3)+1,MONTH(E3),DAY(E3))</f>
        <v>46752</v>
      </c>
      <c r="G3" s="8">
        <f t="shared" ref="G3" si="3">DATE(YEAR(F3)+1,MONTH(F3),DAY(F3))</f>
        <v>47118</v>
      </c>
      <c r="H3" s="8">
        <f t="shared" ref="H3" si="4">DATE(YEAR(G3)+1,MONTH(G3),DAY(G3))</f>
        <v>47483</v>
      </c>
      <c r="I3" s="8">
        <f t="shared" ref="I3" si="5">DATE(YEAR(H3)+1,MONTH(H3),DAY(H3))</f>
        <v>47848</v>
      </c>
    </row>
    <row r="5" spans="1:9" s="5" customFormat="1" x14ac:dyDescent="0.2">
      <c r="A5" s="5" t="s">
        <v>28</v>
      </c>
    </row>
    <row r="6" spans="1:9" x14ac:dyDescent="0.2">
      <c r="A6" t="s">
        <v>75</v>
      </c>
      <c r="C6" s="40">
        <f>B9</f>
        <v>2.8</v>
      </c>
      <c r="D6" s="2">
        <f>C9</f>
        <v>4.2</v>
      </c>
      <c r="E6" s="2">
        <f t="shared" ref="E6:I6" si="6">D9</f>
        <v>8.5259999999999998</v>
      </c>
      <c r="F6" s="2">
        <f t="shared" si="6"/>
        <v>14.42658</v>
      </c>
      <c r="G6" s="2">
        <f t="shared" si="6"/>
        <v>22.428701399999998</v>
      </c>
      <c r="H6" s="2">
        <f t="shared" si="6"/>
        <v>33.233590362000001</v>
      </c>
      <c r="I6" s="2">
        <f t="shared" si="6"/>
        <v>47.774263556459999</v>
      </c>
    </row>
    <row r="7" spans="1:9" x14ac:dyDescent="0.2">
      <c r="A7" t="s">
        <v>78</v>
      </c>
      <c r="C7" s="1">
        <v>2.8</v>
      </c>
      <c r="D7">
        <f>'Input (Annahmen)'!D30*GuV!D7</f>
        <v>2.94</v>
      </c>
      <c r="E7">
        <f>'Input (Annahmen)'!E30*GuV!E7</f>
        <v>3.0869999999999997</v>
      </c>
      <c r="F7">
        <f>'Input (Annahmen)'!F30*GuV!F7</f>
        <v>3.2413500000000002</v>
      </c>
      <c r="G7">
        <f>'Input (Annahmen)'!G30*GuV!G7</f>
        <v>3.4034175000000002</v>
      </c>
      <c r="H7">
        <f>'Input (Annahmen)'!H30*GuV!H7</f>
        <v>3.5735883749999999</v>
      </c>
      <c r="I7">
        <f>'Input (Annahmen)'!I30*GuV!I7</f>
        <v>3.7522677937500006</v>
      </c>
    </row>
    <row r="8" spans="1:9" x14ac:dyDescent="0.2">
      <c r="A8" t="s">
        <v>77</v>
      </c>
      <c r="C8" s="1">
        <v>0.5</v>
      </c>
      <c r="D8">
        <f>'Input (Annahmen)'!D31*'Side Calcs'!D6</f>
        <v>1.3860000000000001</v>
      </c>
      <c r="E8">
        <f>'Input (Annahmen)'!E31*'Side Calcs'!E6</f>
        <v>2.81358</v>
      </c>
      <c r="F8">
        <f>'Input (Annahmen)'!F31*'Side Calcs'!F6</f>
        <v>4.7607714000000003</v>
      </c>
      <c r="G8">
        <f>'Input (Annahmen)'!G31*'Side Calcs'!G6</f>
        <v>7.4014714619999999</v>
      </c>
      <c r="H8">
        <f>'Input (Annahmen)'!H31*'Side Calcs'!H6</f>
        <v>10.96708481946</v>
      </c>
      <c r="I8">
        <f>'Input (Annahmen)'!I31*'Side Calcs'!I6</f>
        <v>15.765506973631801</v>
      </c>
    </row>
    <row r="9" spans="1:9" x14ac:dyDescent="0.2">
      <c r="A9" t="s">
        <v>76</v>
      </c>
      <c r="B9" s="40">
        <f>Bilanz!B7</f>
        <v>2.8</v>
      </c>
      <c r="C9" s="2">
        <f>Bilanz!C7</f>
        <v>4.2</v>
      </c>
      <c r="D9">
        <f>SUM(D6:D8)</f>
        <v>8.5259999999999998</v>
      </c>
      <c r="E9">
        <f t="shared" ref="E9:I9" si="7">SUM(E6:E8)</f>
        <v>14.42658</v>
      </c>
      <c r="F9">
        <f t="shared" si="7"/>
        <v>22.428701399999998</v>
      </c>
      <c r="G9">
        <f t="shared" si="7"/>
        <v>33.233590362000001</v>
      </c>
      <c r="H9">
        <f t="shared" si="7"/>
        <v>47.774263556459999</v>
      </c>
      <c r="I9">
        <f t="shared" si="7"/>
        <v>67.292038323841808</v>
      </c>
    </row>
    <row r="11" spans="1:9" s="5" customFormat="1" x14ac:dyDescent="0.2">
      <c r="A11" s="5" t="s">
        <v>58</v>
      </c>
    </row>
    <row r="12" spans="1:9" x14ac:dyDescent="0.2">
      <c r="A12" t="s">
        <v>75</v>
      </c>
      <c r="C12" s="2">
        <f>Bilanz!B8</f>
        <v>3810.7999999999997</v>
      </c>
      <c r="D12" s="2">
        <f>Bilanz!C8</f>
        <v>4061.7</v>
      </c>
      <c r="E12" s="2">
        <f>Bilanz!D8</f>
        <v>3955.6288200062977</v>
      </c>
      <c r="F12" s="2">
        <f>Bilanz!E8</f>
        <v>3879.2763133271969</v>
      </c>
      <c r="G12" s="2">
        <f>Bilanz!F8</f>
        <v>3830.1609795751892</v>
      </c>
      <c r="H12" s="2">
        <f>Bilanz!G8</f>
        <v>3806.1266873658501</v>
      </c>
      <c r="I12" s="2">
        <f>Bilanz!H8</f>
        <v>3805.3080282659198</v>
      </c>
    </row>
    <row r="13" spans="1:9" x14ac:dyDescent="0.2">
      <c r="A13" t="s">
        <v>79</v>
      </c>
      <c r="C13" s="1">
        <v>304.7</v>
      </c>
      <c r="D13">
        <f>'Input (Annahmen)'!D32*GuV!D7</f>
        <v>354.05160000000006</v>
      </c>
      <c r="E13">
        <f>'Input (Annahmen)'!E32*GuV!E7</f>
        <v>371.75418000000008</v>
      </c>
      <c r="F13">
        <f>'Input (Annahmen)'!F32*GuV!F7</f>
        <v>390.34188900000009</v>
      </c>
      <c r="G13">
        <f>'Input (Annahmen)'!G32*GuV!G7</f>
        <v>409.8589834500001</v>
      </c>
      <c r="H13">
        <f>'Input (Annahmen)'!H32*GuV!H7</f>
        <v>430.3519326225001</v>
      </c>
      <c r="I13">
        <f>'Input (Annahmen)'!I32*GuV!I7</f>
        <v>451.86952925362516</v>
      </c>
    </row>
    <row r="14" spans="1:9" x14ac:dyDescent="0.2">
      <c r="A14" t="s">
        <v>18</v>
      </c>
      <c r="B14" s="1">
        <v>14</v>
      </c>
      <c r="C14" s="1">
        <f>GuV!C18</f>
        <v>-431.7</v>
      </c>
      <c r="D14">
        <f>'Input (Annahmen)'!D33*'Side Calcs'!D12</f>
        <v>-460.12277999370207</v>
      </c>
      <c r="E14">
        <f>'Input (Annahmen)'!E33*'Side Calcs'!E12</f>
        <v>-448.10668667910119</v>
      </c>
      <c r="F14">
        <f>'Input (Annahmen)'!F33*'Side Calcs'!F12</f>
        <v>-439.45722275200768</v>
      </c>
      <c r="G14">
        <f>'Input (Annahmen)'!G33*'Side Calcs'!G12</f>
        <v>-433.89327565933905</v>
      </c>
      <c r="H14">
        <f>'Input (Annahmen)'!H33*'Side Calcs'!H12</f>
        <v>-431.17059172243034</v>
      </c>
      <c r="I14">
        <f>'Input (Annahmen)'!I33*'Side Calcs'!I12</f>
        <v>-431.07785131793787</v>
      </c>
    </row>
    <row r="15" spans="1:9" x14ac:dyDescent="0.2">
      <c r="A15" t="s">
        <v>76</v>
      </c>
      <c r="B15" s="2">
        <f>Bilanz!B8</f>
        <v>3810.7999999999997</v>
      </c>
      <c r="C15" s="2">
        <f>Bilanz!C8</f>
        <v>4061.7</v>
      </c>
      <c r="D15">
        <f>SUM(D12:D14)</f>
        <v>3955.6288200062977</v>
      </c>
      <c r="E15">
        <f t="shared" ref="E15:I15" si="8">SUM(E12:E14)</f>
        <v>3879.2763133271969</v>
      </c>
      <c r="F15">
        <f t="shared" si="8"/>
        <v>3830.1609795751892</v>
      </c>
      <c r="G15">
        <f t="shared" si="8"/>
        <v>3806.1266873658501</v>
      </c>
      <c r="H15">
        <f t="shared" si="8"/>
        <v>3805.3080282659198</v>
      </c>
      <c r="I15">
        <f t="shared" si="8"/>
        <v>3826.0997062016072</v>
      </c>
    </row>
    <row r="17" spans="1:9" s="5" customFormat="1" x14ac:dyDescent="0.2">
      <c r="A17" s="5" t="s">
        <v>89</v>
      </c>
    </row>
    <row r="18" spans="1:9" x14ac:dyDescent="0.2">
      <c r="A18" t="s">
        <v>31</v>
      </c>
      <c r="B18" s="2">
        <f>Bilanz!B12</f>
        <v>41</v>
      </c>
      <c r="C18" s="2">
        <f>Bilanz!C12</f>
        <v>105.69999999999999</v>
      </c>
      <c r="D18">
        <f>D19/Controls!$B$5*-GuV!D8</f>
        <v>45.832707123287669</v>
      </c>
      <c r="E18">
        <f>E19/Controls!$B$5*-GuV!E8</f>
        <v>46.520197730136985</v>
      </c>
      <c r="F18">
        <f>F19/Controls!$B$5*-GuV!F8</f>
        <v>48.846207616643838</v>
      </c>
      <c r="G18">
        <f>G19/Controls!$B$5*-GuV!G8</f>
        <v>51.288517997476028</v>
      </c>
      <c r="H18">
        <f>H19/Controls!$B$5*-GuV!H8</f>
        <v>53.852943897349832</v>
      </c>
      <c r="I18">
        <f>I19/Controls!$B$5*-GuV!I8</f>
        <v>56.545591092217329</v>
      </c>
    </row>
    <row r="19" spans="1:9" x14ac:dyDescent="0.2">
      <c r="A19" t="s">
        <v>84</v>
      </c>
      <c r="B19">
        <f>-B18/GuV!B8*Controls!$B$5</f>
        <v>11.883586119272611</v>
      </c>
      <c r="C19">
        <f>-C18/GuV!C8*Controls!$B$5</f>
        <v>36.297393922288073</v>
      </c>
      <c r="D19" s="2">
        <f>'Input (Annahmen)'!D34</f>
        <v>12.6</v>
      </c>
      <c r="E19" s="2">
        <f>'Input (Annahmen)'!E34</f>
        <v>12.6</v>
      </c>
      <c r="F19" s="2">
        <f>'Input (Annahmen)'!F34</f>
        <v>12.6</v>
      </c>
      <c r="G19" s="2">
        <f>'Input (Annahmen)'!G34</f>
        <v>12.6</v>
      </c>
      <c r="H19" s="2">
        <f>'Input (Annahmen)'!H34</f>
        <v>12.6</v>
      </c>
      <c r="I19" s="2">
        <f>'Input (Annahmen)'!I34</f>
        <v>12.6</v>
      </c>
    </row>
    <row r="20" spans="1:9" x14ac:dyDescent="0.2">
      <c r="D20" s="2"/>
      <c r="E20" s="2"/>
      <c r="F20" s="2"/>
      <c r="G20" s="2"/>
      <c r="H20" s="2"/>
      <c r="I20" s="2"/>
    </row>
    <row r="21" spans="1:9" x14ac:dyDescent="0.2">
      <c r="A21" t="s">
        <v>85</v>
      </c>
      <c r="B21" s="2">
        <f>Bilanz!B13</f>
        <v>834.2</v>
      </c>
      <c r="C21" s="2">
        <f>Bilanz!C13</f>
        <v>546.9</v>
      </c>
      <c r="D21">
        <f>D22/Controls!$B$5*GuV!D7</f>
        <v>1091.2549315068493</v>
      </c>
      <c r="E21">
        <f>E22/Controls!$B$5*GuV!E7</f>
        <v>1145.8176780821918</v>
      </c>
      <c r="F21">
        <f>F22/Controls!$B$5*GuV!F7</f>
        <v>1203.1085619863015</v>
      </c>
      <c r="G21">
        <f>G22/Controls!$B$5*GuV!G7</f>
        <v>1263.2639900856166</v>
      </c>
      <c r="H21">
        <f>H22/Controls!$B$5*GuV!H7</f>
        <v>1326.4271895898976</v>
      </c>
      <c r="I21">
        <f>I22/Controls!$B$5*GuV!I7</f>
        <v>1392.7485490693925</v>
      </c>
    </row>
    <row r="22" spans="1:9" x14ac:dyDescent="0.2">
      <c r="A22" t="s">
        <v>86</v>
      </c>
      <c r="B22">
        <f>B21/GuV!B7*Controls!$B$5</f>
        <v>76.405359965872876</v>
      </c>
      <c r="C22">
        <f>C21/GuV!C7*Controls!$B$5</f>
        <v>47.360198343970197</v>
      </c>
      <c r="D22" s="2">
        <f>'Input (Annahmen)'!D35</f>
        <v>90</v>
      </c>
      <c r="E22" s="2">
        <f>'Input (Annahmen)'!E35</f>
        <v>90</v>
      </c>
      <c r="F22" s="2">
        <f>'Input (Annahmen)'!F35</f>
        <v>90</v>
      </c>
      <c r="G22" s="2">
        <f>'Input (Annahmen)'!G35</f>
        <v>90</v>
      </c>
      <c r="H22" s="2">
        <f>'Input (Annahmen)'!H35</f>
        <v>90</v>
      </c>
      <c r="I22" s="2">
        <f>'Input (Annahmen)'!I35</f>
        <v>90</v>
      </c>
    </row>
    <row r="24" spans="1:9" x14ac:dyDescent="0.2">
      <c r="A24" t="s">
        <v>46</v>
      </c>
      <c r="B24" s="2">
        <f>Bilanz!B37</f>
        <v>287.60000000000002</v>
      </c>
      <c r="C24" s="2">
        <f>Bilanz!C37</f>
        <v>214.4</v>
      </c>
      <c r="D24">
        <f>D25/Controls!$B$5*-GuV!D8</f>
        <v>109.12549315068493</v>
      </c>
      <c r="E24">
        <f>E25/Controls!$B$5*-GuV!E8</f>
        <v>110.76237554794521</v>
      </c>
      <c r="F24">
        <f>F25/Controls!$B$5*-GuV!F8</f>
        <v>116.30049432534247</v>
      </c>
      <c r="G24">
        <f>G25/Controls!$B$5*-GuV!G8</f>
        <v>122.1155190416096</v>
      </c>
      <c r="H24">
        <f>H25/Controls!$B$5*-GuV!H8</f>
        <v>128.22129499369009</v>
      </c>
      <c r="I24">
        <f>I25/Controls!$B$5*-GuV!I8</f>
        <v>134.63235974337459</v>
      </c>
    </row>
    <row r="25" spans="1:9" x14ac:dyDescent="0.2">
      <c r="A25" t="s">
        <v>88</v>
      </c>
      <c r="B25">
        <f>B24/-GuV!B8*Controls!$B$5</f>
        <v>83.359008973239099</v>
      </c>
      <c r="C25">
        <f>C24/-GuV!C8*Controls!$B$5</f>
        <v>73.624988239721517</v>
      </c>
      <c r="D25" s="2">
        <f>'Input (Annahmen)'!D36</f>
        <v>30</v>
      </c>
      <c r="E25" s="2">
        <f>'Input (Annahmen)'!E36</f>
        <v>30</v>
      </c>
      <c r="F25" s="2">
        <f>'Input (Annahmen)'!F36</f>
        <v>30</v>
      </c>
      <c r="G25" s="2">
        <f>'Input (Annahmen)'!G36</f>
        <v>30</v>
      </c>
      <c r="H25" s="2">
        <f>'Input (Annahmen)'!H36</f>
        <v>30</v>
      </c>
      <c r="I25" s="2">
        <f>'Input (Annahmen)'!I36</f>
        <v>30</v>
      </c>
    </row>
    <row r="27" spans="1:9" s="5" customFormat="1" x14ac:dyDescent="0.2">
      <c r="A27" s="5" t="s">
        <v>89</v>
      </c>
      <c r="B27" s="5">
        <f>B18+B21-B24</f>
        <v>587.6</v>
      </c>
      <c r="C27" s="5">
        <f t="shared" ref="C27:D27" si="9">C18+C21-C24</f>
        <v>438.19999999999993</v>
      </c>
      <c r="D27" s="5">
        <f t="shared" si="9"/>
        <v>1027.9621454794521</v>
      </c>
      <c r="E27" s="5">
        <f t="shared" ref="E27:I27" si="10">E18+E21-E24</f>
        <v>1081.5755002643837</v>
      </c>
      <c r="F27" s="5">
        <f t="shared" si="10"/>
        <v>1135.6542752776029</v>
      </c>
      <c r="G27" s="5">
        <f t="shared" si="10"/>
        <v>1192.436989041483</v>
      </c>
      <c r="H27" s="5">
        <f t="shared" si="10"/>
        <v>1252.0588384935572</v>
      </c>
      <c r="I27" s="5">
        <f t="shared" si="10"/>
        <v>1314.6617804182354</v>
      </c>
    </row>
    <row r="28" spans="1:9" s="5" customFormat="1" x14ac:dyDescent="0.2"/>
    <row r="29" spans="1:9" s="5" customFormat="1" x14ac:dyDescent="0.2">
      <c r="A29" s="5" t="s">
        <v>40</v>
      </c>
    </row>
    <row r="30" spans="1:9" x14ac:dyDescent="0.2">
      <c r="A30" t="s">
        <v>75</v>
      </c>
      <c r="C30" s="2">
        <f>B33</f>
        <v>51</v>
      </c>
      <c r="D30" s="2">
        <f>C33</f>
        <v>91.8</v>
      </c>
      <c r="E30" s="2">
        <f t="shared" ref="E30:I30" ca="1" si="11">D33</f>
        <v>111.16121861840401</v>
      </c>
      <c r="F30" s="2">
        <f t="shared" ca="1" si="11"/>
        <v>179.85456416022055</v>
      </c>
      <c r="G30" s="2">
        <f t="shared" ca="1" si="11"/>
        <v>263.55322142579075</v>
      </c>
      <c r="H30" s="2">
        <f t="shared" ca="1" si="11"/>
        <v>356.67612917269832</v>
      </c>
      <c r="I30" s="2">
        <f t="shared" ca="1" si="11"/>
        <v>473.47050673553179</v>
      </c>
    </row>
    <row r="31" spans="1:9" x14ac:dyDescent="0.2">
      <c r="A31" t="str">
        <f>GuV!A30</f>
        <v>Überschuss für Thesaurierung und Ausschüttung</v>
      </c>
      <c r="B31" s="2">
        <f>GuV!B30</f>
        <v>23.800000000000114</v>
      </c>
      <c r="C31" s="2">
        <f>GuV!C30</f>
        <v>143.60000000000034</v>
      </c>
      <c r="D31" s="2">
        <f ca="1">GuV!D30</f>
        <v>94.361218618404024</v>
      </c>
      <c r="E31" s="2">
        <f ca="1">GuV!E30</f>
        <v>147.44334554181657</v>
      </c>
      <c r="F31" s="2">
        <f ca="1">GuV!F30</f>
        <v>166.3861572655702</v>
      </c>
      <c r="G31" s="2">
        <f ca="1">GuV!G30</f>
        <v>179.94478274690761</v>
      </c>
      <c r="H31" s="2">
        <f ca="1">GuV!H30</f>
        <v>207.95734631283352</v>
      </c>
      <c r="I31" s="2">
        <f ca="1">GuV!I30</f>
        <v>241.7432498603668</v>
      </c>
    </row>
    <row r="32" spans="1:9" x14ac:dyDescent="0.2">
      <c r="A32" t="s">
        <v>91</v>
      </c>
      <c r="B32" s="1"/>
      <c r="C32" s="1">
        <v>0</v>
      </c>
      <c r="D32">
        <f>'Input (Annahmen)'!D37</f>
        <v>-75</v>
      </c>
      <c r="E32">
        <f>'Input (Annahmen)'!E37</f>
        <v>-78.75</v>
      </c>
      <c r="F32">
        <f>'Input (Annahmen)'!F37</f>
        <v>-82.6875</v>
      </c>
      <c r="G32">
        <f>'Input (Annahmen)'!G37</f>
        <v>-86.821875000000006</v>
      </c>
      <c r="H32">
        <f>'Input (Annahmen)'!H37</f>
        <v>-91.162968750000005</v>
      </c>
      <c r="I32">
        <f>'Input (Annahmen)'!I37</f>
        <v>-95.721117187500013</v>
      </c>
    </row>
    <row r="33" spans="1:9" x14ac:dyDescent="0.2">
      <c r="A33" t="s">
        <v>76</v>
      </c>
      <c r="B33" s="2">
        <f>Bilanz!B26</f>
        <v>51</v>
      </c>
      <c r="C33" s="2">
        <f>Bilanz!C26</f>
        <v>91.8</v>
      </c>
      <c r="D33">
        <f ca="1">SUM(D30:D32)</f>
        <v>111.16121861840401</v>
      </c>
      <c r="E33">
        <f t="shared" ref="E33:I33" ca="1" si="12">SUM(E30:E32)</f>
        <v>179.85456416022055</v>
      </c>
      <c r="F33">
        <f t="shared" ca="1" si="12"/>
        <v>263.55322142579075</v>
      </c>
      <c r="G33">
        <f t="shared" ca="1" si="12"/>
        <v>356.67612917269832</v>
      </c>
      <c r="H33">
        <f t="shared" ca="1" si="12"/>
        <v>473.47050673553179</v>
      </c>
      <c r="I33">
        <f t="shared" ca="1" si="12"/>
        <v>619.49263940839853</v>
      </c>
    </row>
    <row r="36" spans="1:9" s="5" customFormat="1" x14ac:dyDescent="0.2">
      <c r="A36" s="5" t="s">
        <v>202</v>
      </c>
    </row>
    <row r="37" spans="1:9" x14ac:dyDescent="0.2">
      <c r="A37" t="s">
        <v>75</v>
      </c>
      <c r="B37" s="2">
        <f>Bilanz!B29</f>
        <v>-26.1</v>
      </c>
      <c r="C37" s="2">
        <f>B40</f>
        <v>-26.1</v>
      </c>
      <c r="D37" s="2">
        <f>C40</f>
        <v>-41.3</v>
      </c>
      <c r="E37" s="2">
        <f t="shared" ref="E37:I37" si="13">D40</f>
        <v>98.7</v>
      </c>
      <c r="F37" s="2">
        <f t="shared" si="13"/>
        <v>98.7</v>
      </c>
      <c r="G37" s="2">
        <f t="shared" si="13"/>
        <v>98.7</v>
      </c>
      <c r="H37" s="2">
        <f t="shared" si="13"/>
        <v>98.7</v>
      </c>
      <c r="I37" s="2">
        <f t="shared" si="13"/>
        <v>98.7</v>
      </c>
    </row>
    <row r="38" spans="1:9" x14ac:dyDescent="0.2">
      <c r="A38" t="s">
        <v>95</v>
      </c>
      <c r="B38" s="2">
        <f>'Input (Annahmen)'!B38</f>
        <v>0</v>
      </c>
      <c r="C38" s="2">
        <f>'Input (Annahmen)'!C38</f>
        <v>0</v>
      </c>
      <c r="D38" s="2">
        <f>'Input (Annahmen)'!D38</f>
        <v>140</v>
      </c>
      <c r="E38" s="2">
        <f>'Input (Annahmen)'!E38</f>
        <v>0</v>
      </c>
      <c r="F38" s="2">
        <f>'Input (Annahmen)'!F38</f>
        <v>0</v>
      </c>
      <c r="G38" s="2">
        <f>'Input (Annahmen)'!G38</f>
        <v>0</v>
      </c>
      <c r="H38" s="2">
        <f>'Input (Annahmen)'!H38</f>
        <v>0</v>
      </c>
      <c r="I38" s="2">
        <f>'Input (Annahmen)'!I38</f>
        <v>0</v>
      </c>
    </row>
    <row r="39" spans="1:9" x14ac:dyDescent="0.2">
      <c r="A39" t="s">
        <v>94</v>
      </c>
      <c r="B39">
        <f>'Input (Annahmen)'!B39</f>
        <v>0</v>
      </c>
      <c r="C39">
        <f>'Input (Annahmen)'!C39</f>
        <v>0</v>
      </c>
      <c r="D39">
        <f>'Input (Annahmen)'!D39</f>
        <v>0</v>
      </c>
      <c r="E39">
        <f>'Input (Annahmen)'!E39</f>
        <v>0</v>
      </c>
      <c r="F39">
        <f>'Input (Annahmen)'!F39</f>
        <v>0</v>
      </c>
      <c r="G39">
        <f>'Input (Annahmen)'!G39</f>
        <v>0</v>
      </c>
      <c r="H39" t="str">
        <f>'Input (Annahmen)'!H39</f>
        <v>-</v>
      </c>
      <c r="I39">
        <f>'Input (Annahmen)'!I39</f>
        <v>0</v>
      </c>
    </row>
    <row r="40" spans="1:9" x14ac:dyDescent="0.2">
      <c r="A40" t="s">
        <v>76</v>
      </c>
      <c r="B40" s="2">
        <f>Bilanz!B29</f>
        <v>-26.1</v>
      </c>
      <c r="C40" s="2">
        <f>Bilanz!C29</f>
        <v>-41.3</v>
      </c>
      <c r="D40">
        <f>SUM(D37:D39)</f>
        <v>98.7</v>
      </c>
      <c r="E40">
        <f t="shared" ref="E40:I40" si="14">SUM(E37:E39)</f>
        <v>98.7</v>
      </c>
      <c r="F40">
        <f t="shared" si="14"/>
        <v>98.7</v>
      </c>
      <c r="G40">
        <f t="shared" si="14"/>
        <v>98.7</v>
      </c>
      <c r="H40">
        <f t="shared" si="14"/>
        <v>98.7</v>
      </c>
      <c r="I40">
        <f t="shared" si="14"/>
        <v>98.7</v>
      </c>
    </row>
    <row r="42" spans="1:9" x14ac:dyDescent="0.2">
      <c r="A42" t="s">
        <v>186</v>
      </c>
      <c r="B42">
        <f>SUM(Bilanz!B38:B39)</f>
        <v>259.89999999999998</v>
      </c>
      <c r="C42">
        <f>SUM(Bilanz!C38:C39)</f>
        <v>69.900000000000006</v>
      </c>
      <c r="D42">
        <f ca="1">SUM(Bilanz!D38:D39)</f>
        <v>0</v>
      </c>
      <c r="E42">
        <f ca="1">SUM(Bilanz!E38:E39)</f>
        <v>0</v>
      </c>
      <c r="F42">
        <f ca="1">SUM(Bilanz!F38:F39)</f>
        <v>0</v>
      </c>
      <c r="G42">
        <f ca="1">SUM(Bilanz!G38:G39)</f>
        <v>0</v>
      </c>
      <c r="H42">
        <f ca="1">SUM(Bilanz!H38:H39)</f>
        <v>0</v>
      </c>
      <c r="I42">
        <f ca="1">SUM(Bilanz!I38:I39)</f>
        <v>0</v>
      </c>
    </row>
    <row r="43" spans="1:9" x14ac:dyDescent="0.2">
      <c r="A43" t="s">
        <v>48</v>
      </c>
      <c r="B43">
        <f>Bilanz!B33</f>
        <v>3414.5</v>
      </c>
      <c r="C43">
        <f>Bilanz!C33</f>
        <v>3382.5</v>
      </c>
      <c r="D43">
        <f>Bilanz!D33</f>
        <v>3419.6875</v>
      </c>
      <c r="E43">
        <f>Bilanz!E33</f>
        <v>3327.2265625</v>
      </c>
      <c r="F43">
        <f>Bilanz!F33</f>
        <v>3241.3232421875</v>
      </c>
      <c r="G43">
        <f>Bilanz!G33</f>
        <v>3171.1578369140625</v>
      </c>
      <c r="H43">
        <f>Bilanz!H33</f>
        <v>3109.7631072998047</v>
      </c>
      <c r="I43">
        <f>Bilanz!I33</f>
        <v>3056.0427188873291</v>
      </c>
    </row>
  </sheetData>
  <pageMargins left="0.70866141732283472" right="0.70866141732283472" top="0.78740157480314965" bottom="0.78740157480314965" header="0.31496062992125984" footer="0.31496062992125984"/>
  <pageSetup paperSize="9" scale="78" orientation="landscape" r:id="rId1"/>
  <headerFooter>
    <oddHeader xml:space="preserve">&amp;L&amp;"-,Fett"Stand: &amp;"-,Standard"&amp;D &amp;T&amp;R&amp;"-,Fett"Datei: &amp;"-,Standard"&amp;F | &amp;"-,Fett"Tab:&amp;"-,Standard" &amp;A     </oddHeader>
    <oddFooter>&amp;RSeite &amp;P von &amp;N</oddFooter>
  </headerFooter>
  <rowBreaks count="1" manualBreakCount="1">
    <brk id="34"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FE107-DC31-4EC7-B161-182B544FCDB9}">
  <sheetPr>
    <tabColor theme="4"/>
  </sheetPr>
  <dimension ref="A1:I66"/>
  <sheetViews>
    <sheetView showGridLines="0" zoomScaleNormal="100" workbookViewId="0">
      <pane ySplit="3" topLeftCell="A9" activePane="bottomLeft" state="frozen"/>
      <selection activeCell="W24" sqref="W24"/>
      <selection pane="bottomLeft" activeCell="W24" sqref="W24"/>
    </sheetView>
  </sheetViews>
  <sheetFormatPr baseColWidth="10" defaultRowHeight="15" x14ac:dyDescent="0.2"/>
  <cols>
    <col min="1" max="1" width="46.6640625" customWidth="1"/>
  </cols>
  <sheetData>
    <row r="1" spans="1:9" ht="45" x14ac:dyDescent="0.45">
      <c r="A1" s="4" t="str">
        <f>Controls!A1</f>
        <v>Forecast: Kundennamen</v>
      </c>
    </row>
    <row r="2" spans="1:9" x14ac:dyDescent="0.2">
      <c r="A2" s="5" t="str" cm="1">
        <f t="array" aca="1" ref="A2" ca="1">MID(CELL("dateiname",A1),SEARCH("]",CELL("dateiname",A1))+1,31)</f>
        <v>Debt schedule</v>
      </c>
    </row>
    <row r="3" spans="1:9" s="6" customFormat="1" ht="16" thickBot="1" x14ac:dyDescent="0.25">
      <c r="A3" s="6" t="s">
        <v>5</v>
      </c>
      <c r="B3" s="19">
        <f>Controls!B7</f>
        <v>45291</v>
      </c>
      <c r="C3" s="7">
        <f t="shared" ref="C3:D3" si="0">DATE(YEAR(B3)+1,MONTH(B3),DAY(B3))</f>
        <v>45657</v>
      </c>
      <c r="D3" s="8">
        <f t="shared" si="0"/>
        <v>46022</v>
      </c>
      <c r="E3" s="8">
        <f t="shared" ref="E3" si="1">DATE(YEAR(D3)+1,MONTH(D3),DAY(D3))</f>
        <v>46387</v>
      </c>
      <c r="F3" s="8">
        <f t="shared" ref="F3" si="2">DATE(YEAR(E3)+1,MONTH(E3),DAY(E3))</f>
        <v>46752</v>
      </c>
      <c r="G3" s="8">
        <f t="shared" ref="G3" si="3">DATE(YEAR(F3)+1,MONTH(F3),DAY(F3))</f>
        <v>47118</v>
      </c>
      <c r="H3" s="8">
        <f t="shared" ref="H3" si="4">DATE(YEAR(G3)+1,MONTH(G3),DAY(G3))</f>
        <v>47483</v>
      </c>
      <c r="I3" s="8">
        <f t="shared" ref="I3" si="5">DATE(YEAR(H3)+1,MONTH(H3),DAY(H3))</f>
        <v>47848</v>
      </c>
    </row>
    <row r="5" spans="1:9" s="5" customFormat="1" x14ac:dyDescent="0.2">
      <c r="A5" s="5" t="s">
        <v>48</v>
      </c>
    </row>
    <row r="6" spans="1:9" x14ac:dyDescent="0.2">
      <c r="A6" t="s">
        <v>75</v>
      </c>
      <c r="C6" s="2">
        <f>B9</f>
        <v>3414.5</v>
      </c>
      <c r="D6" s="2">
        <f>C9</f>
        <v>3382.5</v>
      </c>
      <c r="E6" s="2">
        <f t="shared" ref="E6:I6" si="6">D9</f>
        <v>3419.6875</v>
      </c>
      <c r="F6" s="2">
        <f t="shared" si="6"/>
        <v>3327.2265625</v>
      </c>
      <c r="G6" s="2">
        <f t="shared" si="6"/>
        <v>3241.3232421875</v>
      </c>
      <c r="H6" s="2">
        <f t="shared" si="6"/>
        <v>3171.1578369140625</v>
      </c>
      <c r="I6" s="2">
        <f t="shared" si="6"/>
        <v>3109.7631072998047</v>
      </c>
    </row>
    <row r="7" spans="1:9" x14ac:dyDescent="0.2">
      <c r="A7" t="s">
        <v>96</v>
      </c>
      <c r="D7">
        <f>'Input (Annahmen)'!D44</f>
        <v>460</v>
      </c>
      <c r="E7">
        <f>'Input (Annahmen)'!E44</f>
        <v>335</v>
      </c>
      <c r="F7">
        <f>'Input (Annahmen)'!F44</f>
        <v>330</v>
      </c>
      <c r="G7">
        <f>'Input (Annahmen)'!G44</f>
        <v>335</v>
      </c>
      <c r="H7">
        <f>'Input (Annahmen)'!H44</f>
        <v>335</v>
      </c>
      <c r="I7">
        <f>'Input (Annahmen)'!I44</f>
        <v>335</v>
      </c>
    </row>
    <row r="8" spans="1:9" x14ac:dyDescent="0.2">
      <c r="A8" t="s">
        <v>94</v>
      </c>
      <c r="D8" s="2">
        <f>'Input (Annahmen)'!D45</f>
        <v>-422.8125</v>
      </c>
      <c r="E8" s="2">
        <f>'Input (Annahmen)'!E45</f>
        <v>-427.4609375</v>
      </c>
      <c r="F8" s="2">
        <f>'Input (Annahmen)'!F45</f>
        <v>-415.9033203125</v>
      </c>
      <c r="G8" s="2">
        <f>'Input (Annahmen)'!G45</f>
        <v>-405.1654052734375</v>
      </c>
      <c r="H8" s="2">
        <f>'Input (Annahmen)'!H45</f>
        <v>-396.39472961425781</v>
      </c>
      <c r="I8" s="2">
        <f>'Input (Annahmen)'!I45</f>
        <v>-388.72038841247559</v>
      </c>
    </row>
    <row r="9" spans="1:9" x14ac:dyDescent="0.2">
      <c r="A9" t="s">
        <v>76</v>
      </c>
      <c r="B9" s="2">
        <f>Bilanz!B33</f>
        <v>3414.5</v>
      </c>
      <c r="C9" s="2">
        <f>Bilanz!C33</f>
        <v>3382.5</v>
      </c>
      <c r="D9">
        <f>SUM(D6:D8)</f>
        <v>3419.6875</v>
      </c>
      <c r="E9">
        <f t="shared" ref="E9:I9" si="7">SUM(E6:E8)</f>
        <v>3327.2265625</v>
      </c>
      <c r="F9">
        <f t="shared" si="7"/>
        <v>3241.3232421875</v>
      </c>
      <c r="G9">
        <f t="shared" si="7"/>
        <v>3171.1578369140625</v>
      </c>
      <c r="H9">
        <f t="shared" si="7"/>
        <v>3109.7631072998047</v>
      </c>
      <c r="I9">
        <f t="shared" si="7"/>
        <v>3056.0427188873291</v>
      </c>
    </row>
    <row r="11" spans="1:9" s="5" customFormat="1" x14ac:dyDescent="0.2">
      <c r="A11" s="5" t="s">
        <v>103</v>
      </c>
      <c r="D11" s="5">
        <f>D12*(AVERAGE(C9:D9))</f>
        <v>-119.03828125000001</v>
      </c>
      <c r="E11" s="5">
        <f t="shared" ref="E11:I11" si="8">E12*(AVERAGE(D9:E9))</f>
        <v>-126.504638671875</v>
      </c>
      <c r="F11" s="5">
        <f t="shared" si="8"/>
        <v>-131.37099609374999</v>
      </c>
      <c r="G11" s="5">
        <f t="shared" si="8"/>
        <v>-160.31202697753906</v>
      </c>
      <c r="H11" s="5">
        <f t="shared" si="8"/>
        <v>-157.02302360534668</v>
      </c>
      <c r="I11" s="5">
        <f t="shared" si="8"/>
        <v>-154.14514565467834</v>
      </c>
    </row>
    <row r="12" spans="1:9" x14ac:dyDescent="0.2">
      <c r="A12" t="s">
        <v>100</v>
      </c>
      <c r="C12" s="11">
        <f>GuV!C22/AVERAGE(SUM(Bilanz!B33, Bilanz!B38), SUM(Bilanz!C33,Bilanz!C38))</f>
        <v>-2.8876915305607005E-2</v>
      </c>
      <c r="D12" s="15">
        <f>'Input (Annahmen)'!D46</f>
        <v>-3.5000000000000003E-2</v>
      </c>
      <c r="E12" s="15">
        <f>'Input (Annahmen)'!E46</f>
        <v>-3.7499999999999999E-2</v>
      </c>
      <c r="F12" s="15">
        <f>'Input (Annahmen)'!F46</f>
        <v>-0.04</v>
      </c>
      <c r="G12" s="15">
        <f>'Input (Annahmen)'!G46</f>
        <v>-0.05</v>
      </c>
      <c r="H12" s="15">
        <f>'Input (Annahmen)'!H46</f>
        <v>-0.05</v>
      </c>
      <c r="I12" s="15">
        <f>'Input (Annahmen)'!I46</f>
        <v>-0.05</v>
      </c>
    </row>
    <row r="15" spans="1:9" s="5" customFormat="1" x14ac:dyDescent="0.2">
      <c r="A15" s="5" t="s">
        <v>47</v>
      </c>
    </row>
    <row r="16" spans="1:9" x14ac:dyDescent="0.2">
      <c r="A16" t="s">
        <v>75</v>
      </c>
      <c r="C16" s="2">
        <f>B19</f>
        <v>259.89999999999998</v>
      </c>
      <c r="D16" s="2">
        <f>C19</f>
        <v>69.900000000000006</v>
      </c>
      <c r="E16" s="2">
        <f t="shared" ref="E16:I16" si="9">D19</f>
        <v>0</v>
      </c>
      <c r="F16" s="2">
        <f t="shared" si="9"/>
        <v>0</v>
      </c>
      <c r="G16" s="2">
        <f t="shared" si="9"/>
        <v>0</v>
      </c>
      <c r="H16" s="2">
        <f t="shared" si="9"/>
        <v>0</v>
      </c>
      <c r="I16" s="2">
        <f t="shared" si="9"/>
        <v>0</v>
      </c>
    </row>
    <row r="17" spans="1:9" x14ac:dyDescent="0.2">
      <c r="A17" t="s">
        <v>96</v>
      </c>
      <c r="D17">
        <f>'Input (Annahmen)'!D47</f>
        <v>0</v>
      </c>
      <c r="E17">
        <f>'Input (Annahmen)'!E47</f>
        <v>0</v>
      </c>
      <c r="F17">
        <f>'Input (Annahmen)'!F47</f>
        <v>0</v>
      </c>
      <c r="G17">
        <f>'Input (Annahmen)'!G47</f>
        <v>0</v>
      </c>
      <c r="H17">
        <f>'Input (Annahmen)'!H47</f>
        <v>0</v>
      </c>
      <c r="I17">
        <f>'Input (Annahmen)'!I47</f>
        <v>0</v>
      </c>
    </row>
    <row r="18" spans="1:9" x14ac:dyDescent="0.2">
      <c r="A18" t="s">
        <v>101</v>
      </c>
      <c r="D18" s="2">
        <f>'Input (Annahmen)'!D48</f>
        <v>-69.900000000000006</v>
      </c>
      <c r="E18" s="2">
        <f>'Input (Annahmen)'!E48</f>
        <v>0</v>
      </c>
      <c r="F18" s="2">
        <f>'Input (Annahmen)'!F48</f>
        <v>0</v>
      </c>
      <c r="G18" s="2">
        <f>'Input (Annahmen)'!G48</f>
        <v>0</v>
      </c>
      <c r="H18" s="2">
        <f>'Input (Annahmen)'!H48</f>
        <v>0</v>
      </c>
      <c r="I18" s="2">
        <f>'Input (Annahmen)'!I48</f>
        <v>0</v>
      </c>
    </row>
    <row r="19" spans="1:9" x14ac:dyDescent="0.2">
      <c r="A19" t="s">
        <v>76</v>
      </c>
      <c r="B19" s="2">
        <f>Bilanz!B38</f>
        <v>259.89999999999998</v>
      </c>
      <c r="C19" s="2">
        <f>Bilanz!C38</f>
        <v>69.900000000000006</v>
      </c>
      <c r="D19">
        <f>SUM(D16:D18)</f>
        <v>0</v>
      </c>
      <c r="E19">
        <f t="shared" ref="E19:I19" si="10">SUM(E16:E18)</f>
        <v>0</v>
      </c>
      <c r="F19">
        <f t="shared" si="10"/>
        <v>0</v>
      </c>
      <c r="G19">
        <f t="shared" si="10"/>
        <v>0</v>
      </c>
      <c r="H19">
        <f t="shared" si="10"/>
        <v>0</v>
      </c>
      <c r="I19">
        <f t="shared" si="10"/>
        <v>0</v>
      </c>
    </row>
    <row r="21" spans="1:9" s="5" customFormat="1" x14ac:dyDescent="0.2">
      <c r="A21" s="5" t="s">
        <v>102</v>
      </c>
      <c r="D21" s="5">
        <f>D22*AVERAGE(C19:D19)</f>
        <v>-1.2232500000000002</v>
      </c>
      <c r="E21" s="5">
        <f t="shared" ref="E21:I21" si="11">E22*AVERAGE(D19:E19)</f>
        <v>0</v>
      </c>
      <c r="F21" s="5">
        <f t="shared" si="11"/>
        <v>0</v>
      </c>
      <c r="G21" s="5">
        <f t="shared" si="11"/>
        <v>0</v>
      </c>
      <c r="H21" s="5">
        <f t="shared" si="11"/>
        <v>0</v>
      </c>
      <c r="I21" s="5">
        <f t="shared" si="11"/>
        <v>0</v>
      </c>
    </row>
    <row r="22" spans="1:9" x14ac:dyDescent="0.2">
      <c r="A22" t="s">
        <v>104</v>
      </c>
      <c r="C22" s="14">
        <f>'Input (Annahmen)'!C46</f>
        <v>-2.8876915305607005E-2</v>
      </c>
      <c r="D22" s="14">
        <f>'Input (Annahmen)'!D46</f>
        <v>-3.5000000000000003E-2</v>
      </c>
      <c r="E22" s="14">
        <f>'Input (Annahmen)'!E46</f>
        <v>-3.7499999999999999E-2</v>
      </c>
      <c r="F22" s="14">
        <f>'Input (Annahmen)'!F46</f>
        <v>-0.04</v>
      </c>
      <c r="G22" s="14">
        <f>'Input (Annahmen)'!G46</f>
        <v>-0.05</v>
      </c>
      <c r="H22" s="14">
        <f>'Input (Annahmen)'!H46</f>
        <v>-0.05</v>
      </c>
      <c r="I22" s="14">
        <f>'Input (Annahmen)'!I46</f>
        <v>-0.05</v>
      </c>
    </row>
    <row r="25" spans="1:9" s="5" customFormat="1" x14ac:dyDescent="0.2">
      <c r="A25" s="5" t="s">
        <v>49</v>
      </c>
      <c r="B25" s="16">
        <f>Bilanz!B39</f>
        <v>0</v>
      </c>
      <c r="C25" s="16">
        <f>Bilanz!C39</f>
        <v>0</v>
      </c>
      <c r="D25" s="16">
        <f ca="1">Bilanz!D39</f>
        <v>0</v>
      </c>
      <c r="E25" s="16">
        <f ca="1">Bilanz!E39</f>
        <v>0</v>
      </c>
      <c r="F25" s="16">
        <f ca="1">Bilanz!F39</f>
        <v>0</v>
      </c>
      <c r="G25" s="16">
        <f ca="1">Bilanz!G39</f>
        <v>0</v>
      </c>
      <c r="H25" s="16">
        <f ca="1">Bilanz!H39</f>
        <v>0</v>
      </c>
      <c r="I25" s="16">
        <f ca="1">Bilanz!I39</f>
        <v>0</v>
      </c>
    </row>
    <row r="27" spans="1:9" s="5" customFormat="1" x14ac:dyDescent="0.2">
      <c r="A27" s="5" t="s">
        <v>107</v>
      </c>
      <c r="D27" s="5">
        <f ca="1">D28*AVERAGE(C25:D25)</f>
        <v>0</v>
      </c>
      <c r="E27" s="5">
        <f t="shared" ref="E27:I27" ca="1" si="12">E28*AVERAGE(D25:E25)</f>
        <v>0</v>
      </c>
      <c r="F27" s="5">
        <f t="shared" ca="1" si="12"/>
        <v>0</v>
      </c>
      <c r="G27" s="5">
        <f t="shared" ca="1" si="12"/>
        <v>0</v>
      </c>
      <c r="H27" s="5">
        <f t="shared" ca="1" si="12"/>
        <v>0</v>
      </c>
      <c r="I27" s="5">
        <f t="shared" ca="1" si="12"/>
        <v>0</v>
      </c>
    </row>
    <row r="28" spans="1:9" x14ac:dyDescent="0.2">
      <c r="A28" t="s">
        <v>108</v>
      </c>
      <c r="B28" s="11">
        <f>'Input (Annahmen)'!B49</f>
        <v>0</v>
      </c>
      <c r="C28" s="11">
        <f>'Input (Annahmen)'!C49</f>
        <v>-2.8876915305607005E-2</v>
      </c>
      <c r="D28" s="11">
        <f>'Input (Annahmen)'!D49</f>
        <v>-0.1</v>
      </c>
      <c r="E28" s="11">
        <f>'Input (Annahmen)'!E49</f>
        <v>-0.1</v>
      </c>
      <c r="F28" s="11">
        <f>'Input (Annahmen)'!F49</f>
        <v>-0.1</v>
      </c>
      <c r="G28" s="11">
        <f>'Input (Annahmen)'!G49</f>
        <v>-0.1</v>
      </c>
      <c r="H28" s="11">
        <f>'Input (Annahmen)'!H49</f>
        <v>-0.1</v>
      </c>
      <c r="I28" s="11">
        <f>'Input (Annahmen)'!I49</f>
        <v>-0.1</v>
      </c>
    </row>
    <row r="31" spans="1:9" x14ac:dyDescent="0.2">
      <c r="A31" t="s">
        <v>110</v>
      </c>
      <c r="B31" s="2">
        <f>Bilanz!B16</f>
        <v>26.4</v>
      </c>
      <c r="C31" s="2">
        <f>Bilanz!C16</f>
        <v>34.5</v>
      </c>
      <c r="D31" s="2">
        <f>Bilanz!D16</f>
        <v>48.682095000000004</v>
      </c>
      <c r="E31" s="2">
        <f>Bilanz!E16</f>
        <v>51.116199750000007</v>
      </c>
      <c r="F31" s="2">
        <f>Bilanz!F16</f>
        <v>53.672009737500005</v>
      </c>
      <c r="G31" s="2">
        <f>Bilanz!G16</f>
        <v>56.355610224375006</v>
      </c>
      <c r="H31" s="2">
        <f>Bilanz!H16</f>
        <v>59.173390735593763</v>
      </c>
      <c r="I31" s="2">
        <f>Bilanz!I16</f>
        <v>62.132060272373458</v>
      </c>
    </row>
    <row r="33" spans="1:9" x14ac:dyDescent="0.2">
      <c r="A33" t="s">
        <v>111</v>
      </c>
      <c r="D33">
        <f>D34*AVERAGE(C31:D31)</f>
        <v>0</v>
      </c>
      <c r="E33">
        <f t="shared" ref="E33:I33" si="13">E34*AVERAGE(D31:E31)</f>
        <v>0</v>
      </c>
      <c r="F33">
        <f t="shared" si="13"/>
        <v>0</v>
      </c>
      <c r="G33">
        <f t="shared" si="13"/>
        <v>0</v>
      </c>
      <c r="H33">
        <f t="shared" si="13"/>
        <v>0</v>
      </c>
      <c r="I33">
        <f t="shared" si="13"/>
        <v>0</v>
      </c>
    </row>
    <row r="34" spans="1:9" x14ac:dyDescent="0.2">
      <c r="A34" t="s">
        <v>112</v>
      </c>
      <c r="C34" s="11">
        <f>GuV!C21/AVERAGE(Bilanz!B16:C16)</f>
        <v>0</v>
      </c>
      <c r="D34" s="15">
        <f>'Input (Annahmen)'!D50</f>
        <v>0</v>
      </c>
      <c r="E34" s="15">
        <f>'Input (Annahmen)'!E50</f>
        <v>0</v>
      </c>
      <c r="F34" s="15">
        <f>'Input (Annahmen)'!F50</f>
        <v>0</v>
      </c>
      <c r="G34" s="15">
        <f>'Input (Annahmen)'!G50</f>
        <v>0</v>
      </c>
      <c r="H34" s="15">
        <f>'Input (Annahmen)'!H50</f>
        <v>0</v>
      </c>
      <c r="I34" s="15">
        <f>'Input (Annahmen)'!I50</f>
        <v>0</v>
      </c>
    </row>
    <row r="37" spans="1:9" s="5" customFormat="1" x14ac:dyDescent="0.2">
      <c r="A37" s="5" t="s">
        <v>90</v>
      </c>
      <c r="B37" s="16">
        <f>Bilanz!B15</f>
        <v>0</v>
      </c>
      <c r="C37" s="16">
        <f>Bilanz!C15</f>
        <v>0</v>
      </c>
      <c r="D37" s="16">
        <f ca="1">Bilanz!D15</f>
        <v>98.409308132654047</v>
      </c>
      <c r="E37" s="16">
        <f ca="1">Bilanz!E15</f>
        <v>126.66416581864016</v>
      </c>
      <c r="F37" s="16">
        <f ca="1">Bilanz!F15</f>
        <v>148.4370117479987</v>
      </c>
      <c r="G37" s="16">
        <f ca="1">Bilanz!G15</f>
        <v>166.63142892430272</v>
      </c>
      <c r="H37" s="16">
        <f ca="1">Bilanz!H15</f>
        <v>189.41694980661816</v>
      </c>
      <c r="I37" s="16">
        <f ca="1">Bilanz!I15</f>
        <v>221.57252274362338</v>
      </c>
    </row>
    <row r="39" spans="1:9" s="5" customFormat="1" x14ac:dyDescent="0.2">
      <c r="A39" s="5" t="s">
        <v>114</v>
      </c>
      <c r="D39" s="5">
        <f ca="1">D40*AVERAGE(C37:D37)</f>
        <v>0</v>
      </c>
      <c r="E39" s="5">
        <f t="shared" ref="E39:I39" ca="1" si="14">E40*AVERAGE(D37:E37)</f>
        <v>0</v>
      </c>
      <c r="F39" s="5">
        <f t="shared" ca="1" si="14"/>
        <v>0</v>
      </c>
      <c r="G39" s="5">
        <f t="shared" ca="1" si="14"/>
        <v>0</v>
      </c>
      <c r="H39" s="5">
        <f t="shared" ca="1" si="14"/>
        <v>0</v>
      </c>
      <c r="I39" s="5">
        <f t="shared" ca="1" si="14"/>
        <v>0</v>
      </c>
    </row>
    <row r="40" spans="1:9" x14ac:dyDescent="0.2">
      <c r="A40" t="s">
        <v>113</v>
      </c>
      <c r="B40" s="15">
        <f>'Input (Annahmen)'!B50</f>
        <v>0</v>
      </c>
      <c r="C40" s="15">
        <f>'Input (Annahmen)'!C50</f>
        <v>0</v>
      </c>
      <c r="D40" s="15">
        <f>'Input (Annahmen)'!D50</f>
        <v>0</v>
      </c>
      <c r="E40" s="15">
        <f>'Input (Annahmen)'!E50</f>
        <v>0</v>
      </c>
      <c r="F40" s="15">
        <f>'Input (Annahmen)'!F50</f>
        <v>0</v>
      </c>
      <c r="G40" s="15">
        <f>'Input (Annahmen)'!G50</f>
        <v>0</v>
      </c>
      <c r="H40" s="15">
        <f>'Input (Annahmen)'!H50</f>
        <v>0</v>
      </c>
      <c r="I40" s="15">
        <f>'Input (Annahmen)'!I50</f>
        <v>0</v>
      </c>
    </row>
    <row r="43" spans="1:9" s="5" customFormat="1" x14ac:dyDescent="0.2">
      <c r="A43" s="5" t="s">
        <v>115</v>
      </c>
    </row>
    <row r="45" spans="1:9" x14ac:dyDescent="0.2">
      <c r="A45" t="s">
        <v>48</v>
      </c>
      <c r="B45" s="2">
        <f>B9</f>
        <v>3414.5</v>
      </c>
      <c r="C45" s="2">
        <f t="shared" ref="C45:D45" si="15">C9</f>
        <v>3382.5</v>
      </c>
      <c r="D45" s="2">
        <f t="shared" si="15"/>
        <v>3419.6875</v>
      </c>
      <c r="E45" s="2">
        <f t="shared" ref="E45:I45" si="16">E9</f>
        <v>3327.2265625</v>
      </c>
      <c r="F45" s="2">
        <f t="shared" si="16"/>
        <v>3241.3232421875</v>
      </c>
      <c r="G45" s="2">
        <f t="shared" si="16"/>
        <v>3171.1578369140625</v>
      </c>
      <c r="H45" s="2">
        <f t="shared" si="16"/>
        <v>3109.7631072998047</v>
      </c>
      <c r="I45" s="2">
        <f t="shared" si="16"/>
        <v>3056.0427188873291</v>
      </c>
    </row>
    <row r="46" spans="1:9" x14ac:dyDescent="0.2">
      <c r="A46" t="s">
        <v>47</v>
      </c>
      <c r="B46" s="2">
        <f>B19</f>
        <v>259.89999999999998</v>
      </c>
      <c r="C46" s="2">
        <f t="shared" ref="C46:D46" si="17">C19</f>
        <v>69.900000000000006</v>
      </c>
      <c r="D46" s="2">
        <f t="shared" si="17"/>
        <v>0</v>
      </c>
      <c r="E46" s="2">
        <f t="shared" ref="E46:I46" si="18">E19</f>
        <v>0</v>
      </c>
      <c r="F46" s="2">
        <f t="shared" si="18"/>
        <v>0</v>
      </c>
      <c r="G46" s="2">
        <f t="shared" si="18"/>
        <v>0</v>
      </c>
      <c r="H46" s="2">
        <f t="shared" si="18"/>
        <v>0</v>
      </c>
      <c r="I46" s="2">
        <f t="shared" si="18"/>
        <v>0</v>
      </c>
    </row>
    <row r="47" spans="1:9" x14ac:dyDescent="0.2">
      <c r="A47" t="s">
        <v>49</v>
      </c>
      <c r="B47" s="2">
        <f>B25</f>
        <v>0</v>
      </c>
      <c r="C47" s="2">
        <f t="shared" ref="C47:D47" si="19">C25</f>
        <v>0</v>
      </c>
      <c r="D47" s="2">
        <f t="shared" ca="1" si="19"/>
        <v>0</v>
      </c>
      <c r="E47" s="2">
        <f t="shared" ref="E47:I47" ca="1" si="20">E25</f>
        <v>0</v>
      </c>
      <c r="F47" s="2">
        <f t="shared" ca="1" si="20"/>
        <v>0</v>
      </c>
      <c r="G47" s="2">
        <f t="shared" ca="1" si="20"/>
        <v>0</v>
      </c>
      <c r="H47" s="2">
        <f t="shared" ca="1" si="20"/>
        <v>0</v>
      </c>
      <c r="I47" s="2">
        <f t="shared" ca="1" si="20"/>
        <v>0</v>
      </c>
    </row>
    <row r="48" spans="1:9" s="5" customFormat="1" x14ac:dyDescent="0.2">
      <c r="A48" s="5" t="s">
        <v>116</v>
      </c>
      <c r="B48" s="5">
        <f>SUM(B45:B47)</f>
        <v>3674.4</v>
      </c>
      <c r="C48" s="5">
        <f t="shared" ref="C48:D48" si="21">SUM(C45:C47)</f>
        <v>3452.4</v>
      </c>
      <c r="D48" s="5">
        <f t="shared" ca="1" si="21"/>
        <v>3419.6875</v>
      </c>
      <c r="E48" s="5">
        <f t="shared" ref="E48" ca="1" si="22">SUM(E45:E47)</f>
        <v>3327.2265625</v>
      </c>
      <c r="F48" s="5">
        <f t="shared" ref="F48" ca="1" si="23">SUM(F45:F47)</f>
        <v>3241.3232421875</v>
      </c>
      <c r="G48" s="5">
        <f t="shared" ref="G48" ca="1" si="24">SUM(G45:G47)</f>
        <v>3171.1578369140625</v>
      </c>
      <c r="H48" s="5">
        <f t="shared" ref="H48" ca="1" si="25">SUM(H45:H47)</f>
        <v>3109.7631072998047</v>
      </c>
      <c r="I48" s="5">
        <f t="shared" ref="I48" ca="1" si="26">SUM(I45:I47)</f>
        <v>3056.0427188873291</v>
      </c>
    </row>
    <row r="50" spans="1:9" x14ac:dyDescent="0.2">
      <c r="A50" t="s">
        <v>118</v>
      </c>
      <c r="B50" s="2">
        <f>B31</f>
        <v>26.4</v>
      </c>
      <c r="C50" s="2">
        <f t="shared" ref="C50:D50" si="27">C31</f>
        <v>34.5</v>
      </c>
      <c r="D50" s="2">
        <f t="shared" si="27"/>
        <v>48.682095000000004</v>
      </c>
      <c r="E50" s="2">
        <f t="shared" ref="E50:I50" si="28">E31</f>
        <v>51.116199750000007</v>
      </c>
      <c r="F50" s="2">
        <f t="shared" si="28"/>
        <v>53.672009737500005</v>
      </c>
      <c r="G50" s="2">
        <f t="shared" si="28"/>
        <v>56.355610224375006</v>
      </c>
      <c r="H50" s="2">
        <f t="shared" si="28"/>
        <v>59.173390735593763</v>
      </c>
      <c r="I50" s="2">
        <f t="shared" si="28"/>
        <v>62.132060272373458</v>
      </c>
    </row>
    <row r="51" spans="1:9" x14ac:dyDescent="0.2">
      <c r="A51" t="s">
        <v>33</v>
      </c>
      <c r="B51" s="2">
        <f>B37</f>
        <v>0</v>
      </c>
      <c r="C51" s="2">
        <f t="shared" ref="C51:D51" si="29">C37</f>
        <v>0</v>
      </c>
      <c r="D51" s="2">
        <f t="shared" ca="1" si="29"/>
        <v>98.409308132654047</v>
      </c>
      <c r="E51" s="2">
        <f t="shared" ref="E51:I51" ca="1" si="30">E37</f>
        <v>126.66416581864016</v>
      </c>
      <c r="F51" s="2">
        <f t="shared" ca="1" si="30"/>
        <v>148.4370117479987</v>
      </c>
      <c r="G51" s="2">
        <f t="shared" ca="1" si="30"/>
        <v>166.63142892430272</v>
      </c>
      <c r="H51" s="2">
        <f t="shared" ca="1" si="30"/>
        <v>189.41694980661816</v>
      </c>
      <c r="I51" s="2">
        <f t="shared" ca="1" si="30"/>
        <v>221.57252274362338</v>
      </c>
    </row>
    <row r="52" spans="1:9" s="5" customFormat="1" x14ac:dyDescent="0.2">
      <c r="A52" s="5" t="s">
        <v>117</v>
      </c>
      <c r="B52" s="5">
        <f>SUM(B50:B51)</f>
        <v>26.4</v>
      </c>
      <c r="C52" s="5">
        <f t="shared" ref="C52:D52" si="31">SUM(C50:C51)</f>
        <v>34.5</v>
      </c>
      <c r="D52" s="5">
        <f t="shared" ca="1" si="31"/>
        <v>147.09140313265405</v>
      </c>
      <c r="E52" s="5">
        <f t="shared" ref="E52" ca="1" si="32">SUM(E50:E51)</f>
        <v>177.78036556864015</v>
      </c>
      <c r="F52" s="5">
        <f t="shared" ref="F52" ca="1" si="33">SUM(F50:F51)</f>
        <v>202.10902148549872</v>
      </c>
      <c r="G52" s="5">
        <f t="shared" ref="G52" ca="1" si="34">SUM(G50:G51)</f>
        <v>222.98703914867772</v>
      </c>
      <c r="H52" s="5">
        <f t="shared" ref="H52" ca="1" si="35">SUM(H50:H51)</f>
        <v>248.59034054221192</v>
      </c>
      <c r="I52" s="5">
        <f t="shared" ref="I52" ca="1" si="36">SUM(I50:I51)</f>
        <v>283.70458301599683</v>
      </c>
    </row>
    <row r="54" spans="1:9" s="5" customFormat="1" x14ac:dyDescent="0.2">
      <c r="A54" s="5" t="s">
        <v>119</v>
      </c>
      <c r="B54" s="5">
        <f>B48-B52</f>
        <v>3648</v>
      </c>
      <c r="C54" s="5">
        <f t="shared" ref="C54:D54" si="37">C48-C52</f>
        <v>3417.9</v>
      </c>
      <c r="D54" s="5">
        <f t="shared" ca="1" si="37"/>
        <v>3272.5960968673458</v>
      </c>
      <c r="E54" s="5">
        <f t="shared" ref="E54:I54" ca="1" si="38">E48-E52</f>
        <v>3149.4461969313597</v>
      </c>
      <c r="F54" s="5">
        <f t="shared" ca="1" si="38"/>
        <v>3039.2142207020015</v>
      </c>
      <c r="G54" s="5">
        <f t="shared" ca="1" si="38"/>
        <v>2948.1707977653846</v>
      </c>
      <c r="H54" s="5">
        <f t="shared" ca="1" si="38"/>
        <v>2861.1727667575929</v>
      </c>
      <c r="I54" s="5">
        <f t="shared" ca="1" si="38"/>
        <v>2772.3381358713323</v>
      </c>
    </row>
    <row r="57" spans="1:9" s="5" customFormat="1" x14ac:dyDescent="0.2">
      <c r="A57" s="5" t="s">
        <v>122</v>
      </c>
    </row>
    <row r="58" spans="1:9" x14ac:dyDescent="0.2">
      <c r="A58" t="s">
        <v>121</v>
      </c>
      <c r="D58">
        <f ca="1">SUM(D33,D39)</f>
        <v>0</v>
      </c>
      <c r="E58">
        <f t="shared" ref="E58:I58" ca="1" si="39">SUM(E33,E39)</f>
        <v>0</v>
      </c>
      <c r="F58">
        <f t="shared" ca="1" si="39"/>
        <v>0</v>
      </c>
      <c r="G58">
        <f t="shared" ca="1" si="39"/>
        <v>0</v>
      </c>
      <c r="H58">
        <f t="shared" ca="1" si="39"/>
        <v>0</v>
      </c>
      <c r="I58">
        <f t="shared" ca="1" si="39"/>
        <v>0</v>
      </c>
    </row>
    <row r="59" spans="1:9" x14ac:dyDescent="0.2">
      <c r="A59" t="s">
        <v>210</v>
      </c>
      <c r="D59">
        <f ca="1">SUM(D27,D21,D11)</f>
        <v>-120.26153125000002</v>
      </c>
      <c r="E59">
        <f t="shared" ref="E59:I59" ca="1" si="40">SUM(E27,E21,E11)</f>
        <v>-126.504638671875</v>
      </c>
      <c r="F59">
        <f t="shared" ca="1" si="40"/>
        <v>-131.37099609374999</v>
      </c>
      <c r="G59">
        <f t="shared" ca="1" si="40"/>
        <v>-160.31202697753906</v>
      </c>
      <c r="H59">
        <f t="shared" ca="1" si="40"/>
        <v>-157.02302360534668</v>
      </c>
      <c r="I59">
        <f t="shared" ca="1" si="40"/>
        <v>-154.14514565467834</v>
      </c>
    </row>
    <row r="60" spans="1:9" x14ac:dyDescent="0.2">
      <c r="A60" t="s">
        <v>204</v>
      </c>
      <c r="D60">
        <f>D66</f>
        <v>-3.63</v>
      </c>
      <c r="E60">
        <f t="shared" ref="E60:I60" si="41">E66</f>
        <v>-9.870000000000001</v>
      </c>
      <c r="F60">
        <f t="shared" si="41"/>
        <v>-9.870000000000001</v>
      </c>
      <c r="G60">
        <f t="shared" si="41"/>
        <v>-9.870000000000001</v>
      </c>
      <c r="H60">
        <f t="shared" si="41"/>
        <v>-9.870000000000001</v>
      </c>
      <c r="I60">
        <f t="shared" si="41"/>
        <v>-9.870000000000001</v>
      </c>
    </row>
    <row r="61" spans="1:9" s="5" customFormat="1" x14ac:dyDescent="0.2">
      <c r="A61" s="5" t="s">
        <v>120</v>
      </c>
      <c r="D61" s="5">
        <f ca="1">SUM(D58:D60)</f>
        <v>-123.89153125000001</v>
      </c>
      <c r="E61" s="5">
        <f t="shared" ref="E61:I61" ca="1" si="42">SUM(E58:E60)</f>
        <v>-136.374638671875</v>
      </c>
      <c r="F61" s="5">
        <f t="shared" ca="1" si="42"/>
        <v>-141.24099609375</v>
      </c>
      <c r="G61" s="5">
        <f t="shared" ca="1" si="42"/>
        <v>-170.18202697753907</v>
      </c>
      <c r="H61" s="5">
        <f t="shared" ca="1" si="42"/>
        <v>-166.89302360534668</v>
      </c>
      <c r="I61" s="5">
        <f t="shared" ca="1" si="42"/>
        <v>-164.01514565467835</v>
      </c>
    </row>
    <row r="63" spans="1:9" s="5" customFormat="1" x14ac:dyDescent="0.2">
      <c r="A63" s="5" t="s">
        <v>202</v>
      </c>
    </row>
    <row r="64" spans="1:9" x14ac:dyDescent="0.2">
      <c r="A64" t="s">
        <v>208</v>
      </c>
      <c r="B64" s="15">
        <f>'Input (Annahmen)'!B40</f>
        <v>0</v>
      </c>
      <c r="C64" s="15">
        <f>'Input (Annahmen)'!C40</f>
        <v>0</v>
      </c>
      <c r="D64" s="15">
        <f>'Input (Annahmen)'!D40</f>
        <v>0.1</v>
      </c>
      <c r="E64" s="15">
        <f>'Input (Annahmen)'!E40</f>
        <v>0.1</v>
      </c>
      <c r="F64" s="15">
        <f>'Input (Annahmen)'!F40</f>
        <v>0.1</v>
      </c>
      <c r="G64" s="15">
        <f>'Input (Annahmen)'!G40</f>
        <v>0.1</v>
      </c>
      <c r="H64" s="15">
        <f>'Input (Annahmen)'!H40</f>
        <v>0.1</v>
      </c>
      <c r="I64" s="15">
        <f>'Input (Annahmen)'!I40</f>
        <v>0.1</v>
      </c>
    </row>
    <row r="65" spans="1:9" x14ac:dyDescent="0.2">
      <c r="A65" t="s">
        <v>209</v>
      </c>
      <c r="B65">
        <f>'Side Calcs'!B37</f>
        <v>-26.1</v>
      </c>
      <c r="C65">
        <f>'Side Calcs'!C37</f>
        <v>-26.1</v>
      </c>
      <c r="D65">
        <f>'Side Calcs'!D40</f>
        <v>98.7</v>
      </c>
      <c r="E65">
        <f>'Side Calcs'!E40</f>
        <v>98.7</v>
      </c>
      <c r="F65">
        <f>'Side Calcs'!F40</f>
        <v>98.7</v>
      </c>
      <c r="G65">
        <f>'Side Calcs'!G40</f>
        <v>98.7</v>
      </c>
      <c r="H65">
        <f>'Side Calcs'!H40</f>
        <v>98.7</v>
      </c>
      <c r="I65">
        <f>'Side Calcs'!I40</f>
        <v>98.7</v>
      </c>
    </row>
    <row r="66" spans="1:9" x14ac:dyDescent="0.2">
      <c r="A66" t="s">
        <v>204</v>
      </c>
      <c r="C66">
        <f>AVERAGE(B65:C65)*C64</f>
        <v>0</v>
      </c>
      <c r="D66">
        <f>AVERAGE(C65:D65)*-D64</f>
        <v>-3.63</v>
      </c>
      <c r="E66">
        <f t="shared" ref="E66:I66" si="43">AVERAGE(D65:E65)*-E64</f>
        <v>-9.870000000000001</v>
      </c>
      <c r="F66">
        <f t="shared" si="43"/>
        <v>-9.870000000000001</v>
      </c>
      <c r="G66">
        <f t="shared" si="43"/>
        <v>-9.870000000000001</v>
      </c>
      <c r="H66">
        <f t="shared" si="43"/>
        <v>-9.870000000000001</v>
      </c>
      <c r="I66">
        <f t="shared" si="43"/>
        <v>-9.870000000000001</v>
      </c>
    </row>
  </sheetData>
  <pageMargins left="0.70866141732283472" right="0.70866141732283472" top="0.78740157480314965" bottom="0.78740157480314965" header="0.31496062992125984" footer="0.31496062992125984"/>
  <pageSetup paperSize="9" scale="78" orientation="landscape" r:id="rId1"/>
  <headerFooter>
    <oddHeader xml:space="preserve">&amp;L&amp;"-,Fett"Stand: &amp;"-,Standard"&amp;D &amp;T&amp;R&amp;"-,Fett"Datei: &amp;"-,Standard"&amp;F | &amp;"-,Fett"Tab:&amp;"-,Standard" &amp;A     </oddHeader>
    <oddFooter>&amp;RSeite &amp;P von &amp;N</oddFooter>
  </headerFooter>
  <rowBreaks count="1" manualBreakCount="1">
    <brk id="35" max="1638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E3E4E-2F44-4496-AEDC-9790C9B0A2DC}">
  <sheetPr>
    <tabColor theme="4"/>
  </sheetPr>
  <dimension ref="A1:K19"/>
  <sheetViews>
    <sheetView showGridLines="0" zoomScaleNormal="100" workbookViewId="0">
      <pane ySplit="3" topLeftCell="A4" activePane="bottomLeft" state="frozen"/>
      <selection activeCell="W24" sqref="W24"/>
      <selection pane="bottomLeft" activeCell="B10" sqref="B10"/>
    </sheetView>
  </sheetViews>
  <sheetFormatPr baseColWidth="10" defaultRowHeight="15" x14ac:dyDescent="0.2"/>
  <cols>
    <col min="1" max="1" width="41.6640625" customWidth="1"/>
    <col min="2" max="2" width="12.1640625" bestFit="1" customWidth="1"/>
    <col min="4" max="9" width="12.83203125" bestFit="1" customWidth="1"/>
    <col min="10" max="10" width="2.83203125" customWidth="1"/>
    <col min="11" max="11" width="47.5" customWidth="1"/>
  </cols>
  <sheetData>
    <row r="1" spans="1:11" ht="45" x14ac:dyDescent="0.45">
      <c r="A1" s="4" t="str">
        <f>Controls!A1</f>
        <v>Forecast: Kundennamen</v>
      </c>
    </row>
    <row r="2" spans="1:11" x14ac:dyDescent="0.2">
      <c r="A2" s="5" t="str" cm="1">
        <f t="array" aca="1" ref="A2" ca="1">MID(CELL("dateiname",A1),SEARCH("]",CELL("dateiname",A1))+1,31)</f>
        <v>Output</v>
      </c>
    </row>
    <row r="3" spans="1:11" s="6" customFormat="1" ht="16" thickBot="1" x14ac:dyDescent="0.25">
      <c r="A3" s="6" t="s">
        <v>5</v>
      </c>
      <c r="B3" s="37">
        <f>Controls!B7</f>
        <v>45291</v>
      </c>
      <c r="C3" s="38">
        <f t="shared" ref="C3:I3" si="0">DATE(YEAR(B3)+1,MONTH(B3),DAY(B3))</f>
        <v>45657</v>
      </c>
      <c r="D3" s="39">
        <f t="shared" si="0"/>
        <v>46022</v>
      </c>
      <c r="E3" s="39">
        <f t="shared" si="0"/>
        <v>46387</v>
      </c>
      <c r="F3" s="39">
        <f t="shared" si="0"/>
        <v>46752</v>
      </c>
      <c r="G3" s="39">
        <f t="shared" si="0"/>
        <v>47118</v>
      </c>
      <c r="H3" s="39">
        <f t="shared" si="0"/>
        <v>47483</v>
      </c>
      <c r="I3" s="39">
        <f t="shared" si="0"/>
        <v>47848</v>
      </c>
      <c r="K3" s="6" t="s">
        <v>194</v>
      </c>
    </row>
    <row r="5" spans="1:11" x14ac:dyDescent="0.2">
      <c r="A5" s="5" t="s">
        <v>196</v>
      </c>
    </row>
    <row r="6" spans="1:11" x14ac:dyDescent="0.2">
      <c r="A6" t="s">
        <v>155</v>
      </c>
      <c r="B6" s="28">
        <f>Bilanz!B30/Bilanz!B43</f>
        <v>2.0139443067747492E-2</v>
      </c>
      <c r="C6" s="28">
        <f>Bilanz!C30/Bilanz!C43</f>
        <v>2.0538519994249219E-2</v>
      </c>
      <c r="D6" s="28">
        <f ca="1">Bilanz!D30/Bilanz!D43</f>
        <v>4.8350095335490909E-2</v>
      </c>
      <c r="E6" s="28">
        <f ca="1">Bilanz!E30/Bilanz!E43</f>
        <v>6.0979845599007348E-2</v>
      </c>
      <c r="F6" s="28">
        <f ca="1">Bilanz!F30/Bilanz!F43</f>
        <v>7.5933455252602963E-2</v>
      </c>
      <c r="G6" s="28">
        <f ca="1">Bilanz!G30/Bilanz!G43</f>
        <v>9.1915989160666303E-2</v>
      </c>
      <c r="H6" s="28">
        <f ca="1">Bilanz!H30/Bilanz!H43</f>
        <v>0.11105517289198133</v>
      </c>
      <c r="I6" s="28">
        <f ca="1">Bilanz!I30/Bilanz!I43</f>
        <v>0.13369101471376446</v>
      </c>
      <c r="K6" s="3"/>
    </row>
    <row r="7" spans="1:11" x14ac:dyDescent="0.2">
      <c r="A7" t="s">
        <v>88</v>
      </c>
      <c r="B7" s="29">
        <f>'Input (Annahmen)'!B36</f>
        <v>83.359008973239099</v>
      </c>
      <c r="C7" s="29">
        <f>'Input (Annahmen)'!C36</f>
        <v>73.624988239721517</v>
      </c>
      <c r="D7" s="29">
        <f>'Input (Annahmen)'!D36</f>
        <v>30</v>
      </c>
      <c r="E7" s="29">
        <f>'Input (Annahmen)'!E36</f>
        <v>30</v>
      </c>
      <c r="F7" s="29">
        <f>'Input (Annahmen)'!F36</f>
        <v>30</v>
      </c>
      <c r="G7" s="29">
        <f>'Input (Annahmen)'!G36</f>
        <v>30</v>
      </c>
      <c r="H7" s="29">
        <f>'Input (Annahmen)'!H36</f>
        <v>30</v>
      </c>
      <c r="I7" s="29">
        <f>'Input (Annahmen)'!I36</f>
        <v>30</v>
      </c>
      <c r="K7" s="3"/>
    </row>
    <row r="8" spans="1:11" x14ac:dyDescent="0.2">
      <c r="A8" t="s">
        <v>160</v>
      </c>
      <c r="B8" s="28">
        <f>SUM(Bilanz!B15:B16)/SUM(Bilanz!B37:B40)</f>
        <v>2.8571428571428571E-2</v>
      </c>
      <c r="C8" s="28">
        <f>SUM(Bilanz!C15:C16)/SUM(Bilanz!C37:C40)</f>
        <v>6.1311533676914873E-2</v>
      </c>
      <c r="D8" s="28">
        <f ca="1">SUM(Bilanz!D15:D16)/SUM(Bilanz!D37:D40)</f>
        <v>0.17074165968167582</v>
      </c>
      <c r="E8" s="28">
        <f ca="1">SUM(Bilanz!E15:E16)/SUM(Bilanz!E37:E40)</f>
        <v>0.19737145455981245</v>
      </c>
      <c r="F8" s="28">
        <f ca="1">SUM(Bilanz!F15:F16)/SUM(Bilanz!F37:F40)</f>
        <v>0.21369627267283089</v>
      </c>
      <c r="G8" s="28">
        <f ca="1">SUM(Bilanz!G15:G16)/SUM(Bilanz!G37:G40)</f>
        <v>0.22454405934543994</v>
      </c>
      <c r="H8" s="28">
        <f ca="1">SUM(Bilanz!H15:H16)/SUM(Bilanz!H37:H40)</f>
        <v>0.23840584505343271</v>
      </c>
      <c r="I8" s="28">
        <f ca="1">SUM(Bilanz!I15:I16)/SUM(Bilanz!I37:I40)</f>
        <v>0.25912523088975037</v>
      </c>
      <c r="K8" s="3"/>
    </row>
    <row r="9" spans="1:11" x14ac:dyDescent="0.2">
      <c r="A9" t="s">
        <v>645</v>
      </c>
      <c r="B9" s="28">
        <f>(GuV!B19-GuV!B18)/GuV!B7</f>
        <v>0.14865373516348401</v>
      </c>
      <c r="C9" s="28">
        <f>(GuV!C19-GuV!C18)/GuV!C7</f>
        <v>0.16273221191487347</v>
      </c>
      <c r="D9" s="28">
        <f>(GuV!D19-GuV!D18)/GuV!D7</f>
        <v>0.16049999999999995</v>
      </c>
      <c r="E9" s="28">
        <f>(GuV!E19-GuV!E18)/GuV!E7</f>
        <v>0.17049999999999993</v>
      </c>
      <c r="F9" s="28">
        <f>(GuV!F19-GuV!F18)/GuV!F7</f>
        <v>0.17050000000000001</v>
      </c>
      <c r="G9" s="28">
        <f>(GuV!G19-GuV!G18)/GuV!G7</f>
        <v>0.17050000000000004</v>
      </c>
      <c r="H9" s="28">
        <f>(GuV!H19-GuV!H18)/GuV!H7</f>
        <v>0.17050000000000004</v>
      </c>
      <c r="I9" s="28">
        <f>(GuV!I19-GuV!I18)/GuV!I7</f>
        <v>0.17050000000000004</v>
      </c>
      <c r="K9" s="3"/>
    </row>
    <row r="10" spans="1:11" x14ac:dyDescent="0.2">
      <c r="A10" t="s">
        <v>171</v>
      </c>
      <c r="B10" s="30">
        <f>GuV!B8/-Bilanz!B12</f>
        <v>30.714634146341464</v>
      </c>
      <c r="C10" s="30">
        <f>GuV!C8/-Bilanz!C12</f>
        <v>10.055818353831601</v>
      </c>
      <c r="D10" s="30">
        <f>GuV!D8/-Bilanz!D12</f>
        <v>28.968253968253972</v>
      </c>
      <c r="E10" s="30">
        <f>GuV!E8/-Bilanz!E12</f>
        <v>28.968253968253972</v>
      </c>
      <c r="F10" s="30">
        <f>GuV!F8/-Bilanz!F12</f>
        <v>28.968253968253972</v>
      </c>
      <c r="G10" s="30">
        <f>GuV!G8/-Bilanz!G12</f>
        <v>28.968253968253972</v>
      </c>
      <c r="H10" s="30">
        <f>GuV!H8/-Bilanz!H12</f>
        <v>28.968253968253972</v>
      </c>
      <c r="I10" s="30">
        <f>GuV!I8/-Bilanz!I12</f>
        <v>28.968253968253972</v>
      </c>
      <c r="K10" s="3"/>
    </row>
    <row r="11" spans="1:11" x14ac:dyDescent="0.2">
      <c r="A11" t="s">
        <v>175</v>
      </c>
      <c r="B11" s="28">
        <f>IF(ISERROR('Side Calcs'!B42/SUM('Side Calcs'!B42:B43)),0,'Side Calcs'!B42/SUM('Side Calcs'!B42:B43))</f>
        <v>7.0732636620944908E-2</v>
      </c>
      <c r="C11" s="28">
        <f>IF(ISERROR('Side Calcs'!C42/SUM('Side Calcs'!C42:C43)),0,'Side Calcs'!C42/SUM('Side Calcs'!C42:C43))</f>
        <v>2.0246784845324991E-2</v>
      </c>
      <c r="D11" s="28">
        <f ca="1">IF(ISERROR('Side Calcs'!D42/SUM('Side Calcs'!D42:D43)),0,'Side Calcs'!D42/SUM('Side Calcs'!D42:D43))</f>
        <v>0</v>
      </c>
      <c r="E11" s="28">
        <f ca="1">IF(ISERROR('Side Calcs'!E42/SUM('Side Calcs'!E42:E43)),0,'Side Calcs'!E42/SUM('Side Calcs'!E42:E43))</f>
        <v>0</v>
      </c>
      <c r="F11" s="28">
        <f ca="1">IF(ISERROR('Side Calcs'!F42/SUM('Side Calcs'!F42:F43)),0,'Side Calcs'!F42/SUM('Side Calcs'!F42:F43))</f>
        <v>0</v>
      </c>
      <c r="G11" s="28">
        <f ca="1">IF(ISERROR('Side Calcs'!G42/SUM('Side Calcs'!G42:G43)),0,'Side Calcs'!G42/SUM('Side Calcs'!G42:G43))</f>
        <v>0</v>
      </c>
      <c r="H11" s="28">
        <f ca="1">IF(ISERROR('Side Calcs'!H42/SUM('Side Calcs'!H42:H43)),0,'Side Calcs'!H42/SUM('Side Calcs'!H42:H43))</f>
        <v>0</v>
      </c>
      <c r="I11" s="28">
        <f ca="1">IF(ISERROR('Side Calcs'!I42/SUM('Side Calcs'!I42:I43)),0,'Side Calcs'!I42/SUM('Side Calcs'!I42:I43))</f>
        <v>0</v>
      </c>
      <c r="K11" s="3"/>
    </row>
    <row r="12" spans="1:11" x14ac:dyDescent="0.2">
      <c r="A12" t="s">
        <v>179</v>
      </c>
      <c r="B12" s="30">
        <f>GuV!B19/GuV!B22*-1</f>
        <v>1.2666666666666677</v>
      </c>
      <c r="C12" s="30">
        <f>GuV!C19/GuV!C22*-1</f>
        <v>2.4703595724003917</v>
      </c>
      <c r="D12" s="30">
        <f ca="1">GuV!D19/GuV!D22*-1</f>
        <v>2.0306411581808401</v>
      </c>
      <c r="E12" s="30">
        <f ca="1">GuV!E19/GuV!E22*-1</f>
        <v>2.5445199549222584</v>
      </c>
      <c r="F12" s="30">
        <f ca="1">GuV!F19/GuV!F22*-1</f>
        <v>2.812354136298957</v>
      </c>
      <c r="G12" s="30">
        <f ca="1">GuV!G19/GuV!G22*-1</f>
        <v>2.6267177693180983</v>
      </c>
      <c r="H12" s="30">
        <f ca="1">GuV!H19/GuV!H22*-1</f>
        <v>2.9778599414314377</v>
      </c>
      <c r="I12" s="30">
        <f ca="1">GuV!I19/GuV!I22*-1</f>
        <v>3.3395366488330116</v>
      </c>
      <c r="K12" s="3"/>
    </row>
    <row r="13" spans="1:11" x14ac:dyDescent="0.2">
      <c r="A13" t="s">
        <v>180</v>
      </c>
      <c r="B13" s="29">
        <f>GuV!B25</f>
        <v>28.000000000000114</v>
      </c>
      <c r="C13" s="29">
        <f>GuV!C25</f>
        <v>151.30000000000032</v>
      </c>
      <c r="D13" s="29">
        <f ca="1">GuV!D25</f>
        <v>127.68771125629775</v>
      </c>
      <c r="E13" s="29">
        <f ca="1">GuV!E25</f>
        <v>210.63335077402365</v>
      </c>
      <c r="F13" s="29">
        <f ca="1">GuV!F25</f>
        <v>255.97870348549262</v>
      </c>
      <c r="G13" s="29">
        <f ca="1">GuV!G25</f>
        <v>276.83812730293477</v>
      </c>
      <c r="H13" s="29">
        <f ca="1">GuV!H25</f>
        <v>330.09102589338653</v>
      </c>
      <c r="I13" s="29">
        <f ca="1">GuV!I25</f>
        <v>383.71944422280444</v>
      </c>
      <c r="K13" s="3"/>
    </row>
    <row r="14" spans="1:11" x14ac:dyDescent="0.2">
      <c r="A14" t="s">
        <v>195</v>
      </c>
      <c r="B14" s="29">
        <f>SUM(Bilanz!B27,Bilanz!B30,Bilanz!B35)/Bilanz!B10*100</f>
        <v>103.83364799664361</v>
      </c>
      <c r="C14" s="29">
        <f>SUM(Bilanz!C27,Bilanz!C30,Bilanz!C35)/Bilanz!C10*100</f>
        <v>109.38537593152809</v>
      </c>
      <c r="D14" s="29">
        <f ca="1">SUM(Bilanz!D27,Bilanz!D30,Bilanz!D35)/Bilanz!D10*100</f>
        <v>117.63945024804556</v>
      </c>
      <c r="E14" s="29">
        <f ca="1">SUM(Bilanz!E27,Bilanz!E30,Bilanz!E35)/Bilanz!E10*100</f>
        <v>120.92180168367017</v>
      </c>
      <c r="F14" s="29">
        <f ca="1">SUM(Bilanz!F27,Bilanz!F30,Bilanz!F35)/Bilanz!F10*100</f>
        <v>124.32753243077401</v>
      </c>
      <c r="G14" s="29">
        <f ca="1">SUM(Bilanz!G27,Bilanz!G30,Bilanz!G35)/Bilanz!G10*100</f>
        <v>127.77936271619703</v>
      </c>
      <c r="H14" s="29">
        <f ca="1">SUM(Bilanz!H27,Bilanz!H30,Bilanz!H35)/Bilanz!H10*100</f>
        <v>131.79329524179701</v>
      </c>
      <c r="I14" s="29">
        <f ca="1">SUM(Bilanz!I27,Bilanz!I30,Bilanz!I35)/Bilanz!I10*100</f>
        <v>136.55004033898277</v>
      </c>
      <c r="K14" s="3"/>
    </row>
    <row r="16" spans="1:11" s="5" customFormat="1" x14ac:dyDescent="0.2">
      <c r="A16" s="5" t="s">
        <v>191</v>
      </c>
    </row>
    <row r="17" spans="1:11" s="5" customFormat="1" x14ac:dyDescent="0.2">
      <c r="A17" s="32" t="s">
        <v>192</v>
      </c>
      <c r="B17" s="32"/>
      <c r="C17" s="35"/>
      <c r="D17" s="35"/>
      <c r="E17" s="32"/>
      <c r="F17" s="32"/>
      <c r="G17" s="32"/>
      <c r="H17" s="32"/>
      <c r="I17" s="32"/>
      <c r="J17" s="32"/>
      <c r="K17" s="31"/>
    </row>
    <row r="18" spans="1:11" s="5" customFormat="1" x14ac:dyDescent="0.2">
      <c r="A18" s="32" t="s">
        <v>211</v>
      </c>
      <c r="B18" s="32"/>
      <c r="C18" s="36"/>
      <c r="D18" s="36">
        <f>'Input (Annahmen)'!D38</f>
        <v>140</v>
      </c>
      <c r="E18" s="36">
        <f>'Input (Annahmen)'!E38</f>
        <v>0</v>
      </c>
      <c r="F18" s="36">
        <f>'Input (Annahmen)'!F38</f>
        <v>0</v>
      </c>
      <c r="G18" s="36">
        <f>'Input (Annahmen)'!G38</f>
        <v>0</v>
      </c>
      <c r="H18" s="36">
        <f>'Input (Annahmen)'!H38</f>
        <v>0</v>
      </c>
      <c r="I18" s="36">
        <f>'Input (Annahmen)'!I38</f>
        <v>0</v>
      </c>
      <c r="J18" s="32"/>
      <c r="K18" s="31" t="s">
        <v>225</v>
      </c>
    </row>
    <row r="19" spans="1:11" s="5" customFormat="1" x14ac:dyDescent="0.2">
      <c r="A19" s="32" t="s">
        <v>193</v>
      </c>
      <c r="B19" s="32"/>
      <c r="C19" s="36"/>
      <c r="D19" s="36">
        <f>'Input (Annahmen)'!D44</f>
        <v>460</v>
      </c>
      <c r="E19" s="36">
        <f>'Input (Annahmen)'!E44</f>
        <v>335</v>
      </c>
      <c r="F19" s="36">
        <f>'Input (Annahmen)'!F44</f>
        <v>330</v>
      </c>
      <c r="G19" s="36">
        <f>'Input (Annahmen)'!G44</f>
        <v>335</v>
      </c>
      <c r="H19" s="36">
        <f>'Input (Annahmen)'!H44</f>
        <v>335</v>
      </c>
      <c r="I19" s="36">
        <f>'Input (Annahmen)'!I44</f>
        <v>335</v>
      </c>
      <c r="J19" s="32"/>
      <c r="K19" s="31" t="s">
        <v>225</v>
      </c>
    </row>
  </sheetData>
  <conditionalFormatting sqref="B6:I6">
    <cfRule type="iconSet" priority="8">
      <iconSet>
        <cfvo type="percent" val="0"/>
        <cfvo type="num" val="0"/>
        <cfvo type="num" val="0.25" gte="0"/>
      </iconSet>
    </cfRule>
  </conditionalFormatting>
  <conditionalFormatting sqref="B8:I8">
    <cfRule type="iconSet" priority="6">
      <iconSet>
        <cfvo type="percent" val="0"/>
        <cfvo type="num" val="0" gte="0"/>
        <cfvo type="num" val="0.15"/>
      </iconSet>
    </cfRule>
  </conditionalFormatting>
  <conditionalFormatting sqref="B9:I9">
    <cfRule type="iconSet" priority="5">
      <iconSet>
        <cfvo type="percent" val="0"/>
        <cfvo type="num" val="0"/>
        <cfvo type="num" val="7.0000000000000007E-2"/>
      </iconSet>
    </cfRule>
  </conditionalFormatting>
  <conditionalFormatting sqref="B10:I10">
    <cfRule type="iconSet" priority="4">
      <iconSet>
        <cfvo type="percent" val="0"/>
        <cfvo type="num" val="0"/>
        <cfvo type="num" val="3"/>
      </iconSet>
    </cfRule>
  </conditionalFormatting>
  <conditionalFormatting sqref="B12:I12">
    <cfRule type="iconSet" priority="2">
      <iconSet>
        <cfvo type="percent" val="0"/>
        <cfvo type="num" val="1" gte="0"/>
        <cfvo type="num" val="6"/>
      </iconSet>
    </cfRule>
  </conditionalFormatting>
  <conditionalFormatting sqref="B13:I14">
    <cfRule type="iconSet" priority="9">
      <iconSet>
        <cfvo type="percent" val="0"/>
        <cfvo type="num" val="75"/>
        <cfvo type="num" val="110"/>
      </iconSet>
    </cfRule>
  </conditionalFormatting>
  <pageMargins left="0.70866141732283472" right="0.70866141732283472" top="0.78740157480314965" bottom="0.78740157480314965" header="0.31496062992125984" footer="0.31496062992125984"/>
  <pageSetup paperSize="9" scale="64" orientation="landscape" r:id="rId1"/>
  <headerFooter>
    <oddHeader xml:space="preserve">&amp;L&amp;"-,Fett"Stand: &amp;"-,Standard"&amp;D &amp;T&amp;R&amp;"-,Fett"Datei: &amp;"-,Standard"&amp;F | &amp;"-,Fett"Tab:&amp;"-,Standard" &amp;A     </oddHeader>
    <oddFooter>&amp;RSeite &amp;P von &amp;N</oddFooter>
  </headerFooter>
  <extLst>
    <ext xmlns:x14="http://schemas.microsoft.com/office/spreadsheetml/2009/9/main" uri="{78C0D931-6437-407d-A8EE-F0AAD7539E65}">
      <x14:conditionalFormattings>
        <x14:conditionalFormatting xmlns:xm="http://schemas.microsoft.com/office/excel/2006/main">
          <x14:cfRule type="iconSet" priority="7" id="{A201BEA7-61B7-431B-81B3-5C8A30B366B7}">
            <x14:iconSet custom="1">
              <x14:cfvo type="percent">
                <xm:f>0</xm:f>
              </x14:cfvo>
              <x14:cfvo type="num" gte="0">
                <xm:f>0</xm:f>
              </x14:cfvo>
              <x14:cfvo type="num">
                <xm:f>50</xm:f>
              </x14:cfvo>
              <x14:cfIcon iconSet="3TrafficLights1" iconId="2"/>
              <x14:cfIcon iconSet="3TrafficLights1" iconId="2"/>
              <x14:cfIcon iconSet="3TrafficLights1" iconId="1"/>
            </x14:iconSet>
          </x14:cfRule>
          <xm:sqref>B7:I7</xm:sqref>
        </x14:conditionalFormatting>
        <x14:conditionalFormatting xmlns:xm="http://schemas.microsoft.com/office/excel/2006/main">
          <x14:cfRule type="iconSet" priority="3" id="{05D8B259-EF88-46B5-83E7-8322A6544B1C}">
            <x14:iconSet custom="1">
              <x14:cfvo type="percent">
                <xm:f>0</xm:f>
              </x14:cfvo>
              <x14:cfvo type="num" gte="0">
                <xm:f>0</xm:f>
              </x14:cfvo>
              <x14:cfvo type="num">
                <xm:f>0.5</xm:f>
              </x14:cfvo>
              <x14:cfIcon iconSet="3TrafficLights1" iconId="2"/>
              <x14:cfIcon iconSet="3TrafficLights1" iconId="1"/>
              <x14:cfIcon iconSet="3TrafficLights1" iconId="0"/>
            </x14:iconSet>
          </x14:cfRule>
          <xm:sqref>B11:I11</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3ACC-9835-4DE9-9E5B-765C1EC456B2}">
  <sheetPr>
    <tabColor theme="4"/>
  </sheetPr>
  <dimension ref="A1:I35"/>
  <sheetViews>
    <sheetView showGridLines="0" zoomScaleNormal="100" workbookViewId="0">
      <pane ySplit="3" topLeftCell="A5" activePane="bottomLeft" state="frozen"/>
      <selection activeCell="W24" sqref="W24"/>
      <selection pane="bottomLeft" activeCell="K20" sqref="K20"/>
    </sheetView>
  </sheetViews>
  <sheetFormatPr baseColWidth="10" defaultRowHeight="15" x14ac:dyDescent="0.2"/>
  <cols>
    <col min="1" max="1" width="43" customWidth="1"/>
    <col min="5" max="5" width="12.5" bestFit="1" customWidth="1"/>
    <col min="7" max="7" width="13.5" customWidth="1"/>
    <col min="8" max="8" width="49.83203125" bestFit="1" customWidth="1"/>
  </cols>
  <sheetData>
    <row r="1" spans="1:9" ht="45" x14ac:dyDescent="0.45">
      <c r="A1" s="4" t="str">
        <f>Controls!A1</f>
        <v>Forecast: Kundennamen</v>
      </c>
    </row>
    <row r="2" spans="1:9" x14ac:dyDescent="0.2">
      <c r="A2" s="5" t="str" cm="1">
        <f t="array" aca="1" ref="A2" ca="1">MID(CELL("dateiname",A1),SEARCH("]",CELL("dateiname",A1))+1,31)</f>
        <v>Soll-Ist-Abgleich</v>
      </c>
    </row>
    <row r="3" spans="1:9" s="6" customFormat="1" ht="16" thickBot="1" x14ac:dyDescent="0.25">
      <c r="A3" s="6" t="s">
        <v>5</v>
      </c>
      <c r="B3" s="19">
        <f>Controls!B7</f>
        <v>45291</v>
      </c>
      <c r="C3" s="7">
        <f t="shared" ref="C3" si="0">DATE(YEAR(B3)+1,MONTH(B3),DAY(B3))</f>
        <v>45657</v>
      </c>
      <c r="D3" s="50">
        <v>46387</v>
      </c>
      <c r="E3" s="52" t="s">
        <v>236</v>
      </c>
      <c r="F3" s="43"/>
      <c r="G3" s="51" t="s">
        <v>234</v>
      </c>
      <c r="H3" s="8" t="s">
        <v>194</v>
      </c>
      <c r="I3" s="8"/>
    </row>
    <row r="4" spans="1:9" s="42" customFormat="1" hidden="1" x14ac:dyDescent="0.2">
      <c r="A4" s="42" t="s">
        <v>235</v>
      </c>
      <c r="B4" s="45"/>
      <c r="C4" s="46"/>
      <c r="D4" s="49">
        <f>ROUND(((D3-C3)/366)-1,0)</f>
        <v>1</v>
      </c>
      <c r="E4" s="48"/>
      <c r="F4" s="48"/>
      <c r="G4" s="47"/>
      <c r="H4" s="47"/>
      <c r="I4" s="47"/>
    </row>
    <row r="6" spans="1:9" x14ac:dyDescent="0.2">
      <c r="A6" t="s">
        <v>6</v>
      </c>
      <c r="B6" s="176">
        <f>GuV!B5</f>
        <v>3574</v>
      </c>
      <c r="C6" s="176">
        <f>GuV!C5</f>
        <v>4301.3</v>
      </c>
      <c r="D6">
        <f ca="1">OFFSET(GuV!D5,,'Soll-Ist-Abgleich'!$D$4)</f>
        <v>0</v>
      </c>
      <c r="E6" s="1">
        <v>3720</v>
      </c>
    </row>
    <row r="7" spans="1:9" x14ac:dyDescent="0.2">
      <c r="A7" t="s">
        <v>7</v>
      </c>
      <c r="B7" s="176">
        <f>GuV!B6</f>
        <v>411.09999999999997</v>
      </c>
      <c r="C7" s="176">
        <f>GuV!C6</f>
        <v>-86.399999999999991</v>
      </c>
      <c r="D7">
        <f ca="1">OFFSET(GuV!D6,,'Soll-Ist-Abgleich'!$D$4)</f>
        <v>0</v>
      </c>
      <c r="E7" s="1">
        <v>55</v>
      </c>
    </row>
    <row r="8" spans="1:9" s="5" customFormat="1" x14ac:dyDescent="0.2">
      <c r="A8" s="5" t="s">
        <v>54</v>
      </c>
      <c r="B8" s="5">
        <f>SUM(B6:B7)</f>
        <v>3985.1</v>
      </c>
      <c r="C8" s="5">
        <f>SUM(C6:C7)</f>
        <v>4214.9000000000005</v>
      </c>
      <c r="D8" s="5">
        <f ca="1">OFFSET(GuV!D7,,'Soll-Ist-Abgleich'!$D$4)</f>
        <v>4646.9272500000006</v>
      </c>
      <c r="E8" s="53">
        <f>SUM(E6:E7)</f>
        <v>3775</v>
      </c>
      <c r="G8" s="5">
        <f ca="1">E8-D8</f>
        <v>-871.92725000000064</v>
      </c>
      <c r="H8" s="3" t="s">
        <v>237</v>
      </c>
    </row>
    <row r="9" spans="1:9" x14ac:dyDescent="0.2">
      <c r="A9" t="s">
        <v>8</v>
      </c>
      <c r="B9" s="176">
        <f>GuV!B8</f>
        <v>-1259.3</v>
      </c>
      <c r="C9" s="176">
        <f>GuV!C8</f>
        <v>-1062.9000000000001</v>
      </c>
      <c r="D9">
        <f ca="1">OFFSET(GuV!D8,,'Soll-Ist-Abgleich'!$D$4)</f>
        <v>-1347.6089025000001</v>
      </c>
      <c r="E9" s="1">
        <v>-1075</v>
      </c>
      <c r="G9" s="5">
        <f ca="1">E9-D9</f>
        <v>272.60890250000011</v>
      </c>
      <c r="H9" s="3" t="s">
        <v>238</v>
      </c>
    </row>
    <row r="10" spans="1:9" s="5" customFormat="1" x14ac:dyDescent="0.2">
      <c r="A10" s="5" t="s">
        <v>10</v>
      </c>
      <c r="B10" s="5">
        <f>SUM(B8:B9)</f>
        <v>2725.8</v>
      </c>
      <c r="C10" s="5">
        <f>SUM(C8:C9)</f>
        <v>3152.0000000000005</v>
      </c>
      <c r="D10" s="5">
        <f ca="1">OFFSET(GuV!D9,,'Soll-Ist-Abgleich'!$D$4)</f>
        <v>3299.3183475000005</v>
      </c>
      <c r="E10" s="53">
        <f>SUM(E8:E9)</f>
        <v>2700</v>
      </c>
      <c r="G10" s="5">
        <f ca="1">E10-D10</f>
        <v>-599.31834750000053</v>
      </c>
      <c r="H10" s="3"/>
    </row>
    <row r="11" spans="1:9" x14ac:dyDescent="0.2">
      <c r="E11" s="1"/>
    </row>
    <row r="12" spans="1:9" x14ac:dyDescent="0.2">
      <c r="A12" t="s">
        <v>11</v>
      </c>
      <c r="B12" s="176">
        <f>GuV!B11</f>
        <v>-1214.2</v>
      </c>
      <c r="C12" s="176">
        <f>GuV!C11</f>
        <v>-1422.2</v>
      </c>
      <c r="D12">
        <f ca="1">OFFSET(GuV!D11,,'Soll-Ist-Abgleich'!$D$4)</f>
        <v>-1487.0167200000003</v>
      </c>
      <c r="E12" s="1">
        <v>-1420</v>
      </c>
      <c r="G12" s="5">
        <f ca="1">E12-D12</f>
        <v>67.016720000000305</v>
      </c>
      <c r="H12" s="3" t="s">
        <v>239</v>
      </c>
    </row>
    <row r="13" spans="1:9" x14ac:dyDescent="0.2">
      <c r="A13" t="s">
        <v>12</v>
      </c>
      <c r="B13" s="176">
        <f>GuV!B12</f>
        <v>0</v>
      </c>
      <c r="C13" s="176">
        <f>GuV!C12</f>
        <v>0</v>
      </c>
      <c r="D13">
        <f ca="1">OFFSET(GuV!D12,,'Soll-Ist-Abgleich'!$D$4)</f>
        <v>-65.056981500000006</v>
      </c>
      <c r="E13" s="1">
        <v>-53</v>
      </c>
      <c r="G13" s="5">
        <f t="shared" ref="G13:G33" ca="1" si="1">E13-D13</f>
        <v>12.056981500000006</v>
      </c>
      <c r="H13" s="3"/>
    </row>
    <row r="14" spans="1:9" x14ac:dyDescent="0.2">
      <c r="A14" t="s">
        <v>13</v>
      </c>
      <c r="B14" s="176">
        <f>GuV!B13</f>
        <v>0</v>
      </c>
      <c r="C14" s="176">
        <f>GuV!C13</f>
        <v>0</v>
      </c>
      <c r="D14">
        <f ca="1">OFFSET(GuV!D13,,'Soll-Ist-Abgleich'!$D$4)</f>
        <v>-60.410054250000009</v>
      </c>
      <c r="E14" s="1">
        <v>-74</v>
      </c>
      <c r="G14" s="5">
        <f t="shared" ca="1" si="1"/>
        <v>-13.589945749999991</v>
      </c>
      <c r="H14" s="3" t="s">
        <v>240</v>
      </c>
    </row>
    <row r="15" spans="1:9" x14ac:dyDescent="0.2">
      <c r="A15" t="s">
        <v>14</v>
      </c>
      <c r="B15" s="176">
        <f>GuV!B14</f>
        <v>0</v>
      </c>
      <c r="C15" s="176">
        <f>GuV!C14</f>
        <v>0</v>
      </c>
      <c r="D15">
        <f ca="1">OFFSET(GuV!D14,,'Soll-Ist-Abgleich'!$D$4)</f>
        <v>-151.02513562500002</v>
      </c>
      <c r="E15" s="1">
        <v>-198</v>
      </c>
      <c r="G15" s="5">
        <f t="shared" ca="1" si="1"/>
        <v>-46.974864374999981</v>
      </c>
      <c r="H15" s="3" t="s">
        <v>242</v>
      </c>
    </row>
    <row r="16" spans="1:9" x14ac:dyDescent="0.2">
      <c r="A16" t="s">
        <v>15</v>
      </c>
      <c r="B16" s="176">
        <f>GuV!B15</f>
        <v>0</v>
      </c>
      <c r="C16" s="176">
        <f>GuV!C15</f>
        <v>0</v>
      </c>
      <c r="D16">
        <f ca="1">OFFSET(GuV!D15,,'Soll-Ist-Abgleich'!$D$4)</f>
        <v>-450.75194325000007</v>
      </c>
      <c r="E16" s="1">
        <v>-437</v>
      </c>
      <c r="G16" s="5">
        <f t="shared" ca="1" si="1"/>
        <v>13.751943250000068</v>
      </c>
      <c r="H16" s="3"/>
    </row>
    <row r="17" spans="1:9" x14ac:dyDescent="0.2">
      <c r="A17" t="s">
        <v>16</v>
      </c>
      <c r="B17" s="176">
        <f>GuV!B16</f>
        <v>0</v>
      </c>
      <c r="C17" s="176">
        <f>GuV!C16</f>
        <v>0</v>
      </c>
      <c r="D17">
        <f ca="1">OFFSET(GuV!D16,,'Soll-Ist-Abgleich'!$D$4)</f>
        <v>-37.175418000000008</v>
      </c>
      <c r="E17" s="1">
        <v>-19</v>
      </c>
      <c r="G17" s="5">
        <f t="shared" ca="1" si="1"/>
        <v>18.175418000000008</v>
      </c>
      <c r="H17" s="3"/>
    </row>
    <row r="18" spans="1:9" x14ac:dyDescent="0.2">
      <c r="A18" t="s">
        <v>17</v>
      </c>
      <c r="B18" s="176">
        <f>GuV!B17</f>
        <v>-919.2</v>
      </c>
      <c r="C18" s="176">
        <f>GuV!C17</f>
        <v>-1043.9000000000001</v>
      </c>
      <c r="D18">
        <f ca="1">OFFSET(GuV!D17,,'Soll-Ist-Abgleich'!$D$4)</f>
        <v>-255.58099875000005</v>
      </c>
      <c r="E18" s="1">
        <v>-232</v>
      </c>
      <c r="G18" s="5">
        <f t="shared" ca="1" si="1"/>
        <v>23.580998750000049</v>
      </c>
      <c r="H18" s="3"/>
    </row>
    <row r="19" spans="1:9" x14ac:dyDescent="0.2">
      <c r="A19" t="s">
        <v>18</v>
      </c>
      <c r="B19" s="176">
        <f>GuV!B18</f>
        <v>-459.4</v>
      </c>
      <c r="C19" s="176">
        <f>GuV!C18</f>
        <v>-431.7</v>
      </c>
      <c r="D19">
        <f ca="1">OFFSET(GuV!D18,,'Soll-Ist-Abgleich'!$D$4)</f>
        <v>-445.29310667910119</v>
      </c>
      <c r="E19" s="1">
        <v>-438</v>
      </c>
      <c r="G19" s="5">
        <f t="shared" ca="1" si="1"/>
        <v>7.2931066791011858</v>
      </c>
      <c r="H19" s="3"/>
    </row>
    <row r="20" spans="1:9" s="5" customFormat="1" x14ac:dyDescent="0.2">
      <c r="A20" s="5" t="s">
        <v>19</v>
      </c>
      <c r="B20" s="5">
        <f>SUM(B10:B19)</f>
        <v>133.00000000000011</v>
      </c>
      <c r="C20" s="5">
        <f t="shared" ref="C20" si="2">SUM(C10:C19)</f>
        <v>254.20000000000033</v>
      </c>
      <c r="D20">
        <f ca="1">OFFSET(GuV!D19,,'Soll-Ist-Abgleich'!$D$4)</f>
        <v>347.00798944589866</v>
      </c>
      <c r="E20" s="1">
        <f>SUM(E10:E19)</f>
        <v>-171</v>
      </c>
      <c r="G20" s="5">
        <f t="shared" ca="1" si="1"/>
        <v>-518.0079894458986</v>
      </c>
      <c r="H20" s="3" t="s">
        <v>241</v>
      </c>
    </row>
    <row r="21" spans="1:9" x14ac:dyDescent="0.2">
      <c r="E21" s="1"/>
    </row>
    <row r="22" spans="1:9" x14ac:dyDescent="0.2">
      <c r="A22" t="s">
        <v>20</v>
      </c>
      <c r="B22" s="176">
        <f>GuV!B21</f>
        <v>0</v>
      </c>
      <c r="C22" s="176">
        <f>GuV!C21</f>
        <v>0</v>
      </c>
      <c r="D22">
        <f ca="1">OFFSET(GuV!D21,,'Soll-Ist-Abgleich'!$D$4)</f>
        <v>0</v>
      </c>
      <c r="E22" s="44"/>
      <c r="F22" s="13"/>
      <c r="G22" s="5">
        <f t="shared" ca="1" si="1"/>
        <v>0</v>
      </c>
      <c r="H22" s="3"/>
      <c r="I22" s="13"/>
    </row>
    <row r="23" spans="1:9" x14ac:dyDescent="0.2">
      <c r="A23" t="s">
        <v>22</v>
      </c>
      <c r="B23" s="176">
        <f>GuV!B22</f>
        <v>-105</v>
      </c>
      <c r="C23" s="176">
        <f>GuV!C22</f>
        <v>-102.9</v>
      </c>
      <c r="D23">
        <f ca="1">OFFSET(GuV!D22,,'Soll-Ist-Abgleich'!$D$4)</f>
        <v>-136.374638671875</v>
      </c>
      <c r="E23" s="44">
        <v>-90</v>
      </c>
      <c r="F23" s="13"/>
      <c r="G23" s="5">
        <f t="shared" ca="1" si="1"/>
        <v>46.374638671875005</v>
      </c>
      <c r="H23" s="3"/>
      <c r="I23" s="13"/>
    </row>
    <row r="24" spans="1:9" s="5" customFormat="1" x14ac:dyDescent="0.2">
      <c r="A24" s="5" t="s">
        <v>21</v>
      </c>
      <c r="B24" s="5">
        <f>SUM(B22:B23)</f>
        <v>-105</v>
      </c>
      <c r="C24" s="5">
        <f>SUM(C22:C23)</f>
        <v>-102.9</v>
      </c>
      <c r="D24" s="5">
        <f ca="1">OFFSET(GuV!D23,,'Soll-Ist-Abgleich'!$D$4)</f>
        <v>-136.374638671875</v>
      </c>
      <c r="E24" s="5">
        <f>SUM(E22:E23)</f>
        <v>-90</v>
      </c>
      <c r="G24" s="5">
        <f t="shared" ca="1" si="1"/>
        <v>46.374638671875005</v>
      </c>
      <c r="H24" s="3"/>
    </row>
    <row r="25" spans="1:9" x14ac:dyDescent="0.2">
      <c r="E25" s="1"/>
    </row>
    <row r="26" spans="1:9" s="5" customFormat="1" x14ac:dyDescent="0.2">
      <c r="A26" s="5" t="s">
        <v>25</v>
      </c>
      <c r="B26" s="5">
        <f>SUM(B20,B24)</f>
        <v>28.000000000000114</v>
      </c>
      <c r="C26" s="5">
        <f>SUM(C20,C24)</f>
        <v>151.30000000000032</v>
      </c>
      <c r="D26">
        <f ca="1">OFFSET(GuV!D25,,'Soll-Ist-Abgleich'!$D$4)</f>
        <v>210.63335077402365</v>
      </c>
      <c r="E26" s="1">
        <f>E20+E24</f>
        <v>-261</v>
      </c>
      <c r="G26" s="5">
        <f t="shared" ca="1" si="1"/>
        <v>-471.63335077402365</v>
      </c>
      <c r="H26" s="3"/>
    </row>
    <row r="27" spans="1:9" x14ac:dyDescent="0.2">
      <c r="E27" s="1"/>
    </row>
    <row r="28" spans="1:9" x14ac:dyDescent="0.2">
      <c r="A28" t="s">
        <v>23</v>
      </c>
      <c r="B28" s="176">
        <f>GuV!B27</f>
        <v>-4.2</v>
      </c>
      <c r="C28" s="176">
        <f>GuV!C27</f>
        <v>-7.7</v>
      </c>
      <c r="D28">
        <f ca="1">OFFSET(GuV!D27,,'Soll-Ist-Abgleich'!$D$4)</f>
        <v>-63.190005232207092</v>
      </c>
      <c r="E28" s="1">
        <v>-25</v>
      </c>
      <c r="G28" s="5">
        <f t="shared" ca="1" si="1"/>
        <v>38.190005232207092</v>
      </c>
      <c r="H28" s="3"/>
    </row>
    <row r="29" spans="1:9" s="5" customFormat="1" x14ac:dyDescent="0.2">
      <c r="A29" s="5" t="s">
        <v>24</v>
      </c>
      <c r="B29" s="5">
        <f>SUM(B26:B28)</f>
        <v>23.800000000000114</v>
      </c>
      <c r="C29" s="5">
        <f>SUM(C26:C28)</f>
        <v>143.60000000000034</v>
      </c>
      <c r="D29">
        <f ca="1">OFFSET(GuV!D28,,'Soll-Ist-Abgleich'!$D$4)</f>
        <v>147.44334554181657</v>
      </c>
      <c r="E29" s="1">
        <f>E26+E28</f>
        <v>-286</v>
      </c>
      <c r="G29" s="5">
        <f t="shared" ca="1" si="1"/>
        <v>-433.4433455418166</v>
      </c>
      <c r="H29" s="3"/>
    </row>
    <row r="30" spans="1:9" x14ac:dyDescent="0.2">
      <c r="E30" s="1"/>
    </row>
    <row r="31" spans="1:9" s="5" customFormat="1" x14ac:dyDescent="0.2">
      <c r="A31" s="5" t="s">
        <v>92</v>
      </c>
      <c r="B31" s="5">
        <f>B29</f>
        <v>23.800000000000114</v>
      </c>
      <c r="C31" s="5">
        <f t="shared" ref="C31" si="3">C29</f>
        <v>143.60000000000034</v>
      </c>
      <c r="D31">
        <f ca="1">OFFSET(GuV!D30,,'Soll-Ist-Abgleich'!$D$4)</f>
        <v>147.44334554181657</v>
      </c>
      <c r="E31" s="1">
        <f>E29</f>
        <v>-286</v>
      </c>
      <c r="G31" s="5">
        <f t="shared" ca="1" si="1"/>
        <v>-433.4433455418166</v>
      </c>
      <c r="H31" s="3"/>
    </row>
    <row r="32" spans="1:9" x14ac:dyDescent="0.2">
      <c r="E32" s="1"/>
    </row>
    <row r="33" spans="1:9" x14ac:dyDescent="0.2">
      <c r="A33" t="s">
        <v>26</v>
      </c>
      <c r="B33" s="1"/>
      <c r="C33" s="1"/>
      <c r="D33">
        <f ca="1">OFFSET(GuV!D32,,'Soll-Ist-Abgleich'!$D$4)</f>
        <v>792.30109612499984</v>
      </c>
      <c r="E33" s="44">
        <f>E20-E19</f>
        <v>267</v>
      </c>
      <c r="F33" s="13"/>
      <c r="G33" s="5">
        <f t="shared" ca="1" si="1"/>
        <v>-525.30109612499984</v>
      </c>
      <c r="H33" s="3"/>
      <c r="I33" s="13"/>
    </row>
    <row r="35" spans="1:9" x14ac:dyDescent="0.2">
      <c r="A35" t="s">
        <v>243</v>
      </c>
      <c r="D35">
        <f ca="1">-D29+D23+D19</f>
        <v>-729.11109089279284</v>
      </c>
      <c r="E35">
        <f>E29+E23+E19</f>
        <v>-814</v>
      </c>
    </row>
  </sheetData>
  <pageMargins left="0.70866141732283472" right="0.70866141732283472" top="0.78740157480314965" bottom="0.78740157480314965" header="0.31496062992125984" footer="0.31496062992125984"/>
  <pageSetup paperSize="9" scale="76" orientation="landscape" r:id="rId1"/>
  <headerFooter>
    <oddHeader xml:space="preserve">&amp;L&amp;"-,Fett"Stand: &amp;"-,Standard"&amp;D &amp;T&amp;R&amp;"-,Fett"Datei: &amp;"-,Standard"&amp;F | &amp;"-,Fett"Tab:&amp;"-,Standard" &amp;A     </oddHeader>
    <oddFooter>&amp;RSeite &amp;P von &amp;N</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A6501C27-0FC8-4313-86B5-0870D7E707EB}">
          <x14:formula1>
            <xm:f>Controls!$D$3:$I$3</xm:f>
          </x14:formula1>
          <xm:sqref>D3</xm:sqref>
        </x14:dataValidation>
      </x14:dataValidations>
    </ext>
  </extLst>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Arbeitsblätter</vt:lpstr>
      </vt:variant>
      <vt:variant>
        <vt:i4>11</vt:i4>
      </vt:variant>
      <vt:variant>
        <vt:lpstr>Benannte Bereiche</vt:lpstr>
      </vt:variant>
      <vt:variant>
        <vt:i4>13</vt:i4>
      </vt:variant>
    </vt:vector>
  </HeadingPairs>
  <TitlesOfParts>
    <vt:vector size="24" baseType="lpstr">
      <vt:lpstr>Controls</vt:lpstr>
      <vt:lpstr>Input (agree Daten)</vt:lpstr>
      <vt:lpstr>Mapping</vt:lpstr>
      <vt:lpstr>Input (Annahmen)</vt:lpstr>
      <vt:lpstr>GuV</vt:lpstr>
      <vt:lpstr>Bilanz</vt:lpstr>
      <vt:lpstr>CashflowStatement</vt:lpstr>
      <vt:lpstr>Side Calcs</vt:lpstr>
      <vt:lpstr>Debt schedule</vt:lpstr>
      <vt:lpstr>Output</vt:lpstr>
      <vt:lpstr>Soll-Ist-Abgleich</vt:lpstr>
      <vt:lpstr>Bilanz!Druckbereich</vt:lpstr>
      <vt:lpstr>'Input (Annahmen)'!Druckbereich</vt:lpstr>
      <vt:lpstr>Output!Druckbereich</vt:lpstr>
      <vt:lpstr>'Soll-Ist-Abgleich'!Druckbereich</vt:lpstr>
      <vt:lpstr>Bilanz!Drucktitel</vt:lpstr>
      <vt:lpstr>CashflowStatement!Drucktitel</vt:lpstr>
      <vt:lpstr>Controls!Drucktitel</vt:lpstr>
      <vt:lpstr>'Debt schedule'!Drucktitel</vt:lpstr>
      <vt:lpstr>GuV!Drucktitel</vt:lpstr>
      <vt:lpstr>'Input (Annahmen)'!Drucktitel</vt:lpstr>
      <vt:lpstr>Output!Drucktitel</vt:lpstr>
      <vt:lpstr>'Side Calcs'!Drucktitel</vt:lpstr>
      <vt:lpstr>'Soll-Ist-Abgleich'!Drucktitel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Benedikt Zoller</dc:creator>
  <cp:lastModifiedBy>benedikt zoller</cp:lastModifiedBy>
  <cp:lastPrinted>2026-01-29T10:08:09Z</cp:lastPrinted>
  <dcterms:created xsi:type="dcterms:W3CDTF">2022-03-11T13:27:02Z</dcterms:created>
  <dcterms:modified xsi:type="dcterms:W3CDTF">2026-04-22T05:16:54Z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2026-01-29T09:24:16Z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7bba162c-ab14-4e0b-a6cd-d287643e3b40</vt:lpwstr>
  </property>
  <property fmtid="{D5CDD505-2E9C-101B-9397-08002B2CF9AE}" pid="7" name="MSIP_Label_defa4170-0d19-0005-0004-bc88714345d2_ActionId">
    <vt:lpwstr>b6a10885-4d86-458a-98d2-1d72eeebece7</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