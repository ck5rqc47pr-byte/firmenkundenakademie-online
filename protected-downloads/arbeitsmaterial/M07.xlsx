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W-S5-Praxisbewertung" sheetId="1" state="visible" r:id="rId1"/>
    <sheet xmlns:r="http://schemas.openxmlformats.org/officeDocument/2006/relationships" name="Finanzierung &amp; DS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×&quot;"/>
    <numFmt numFmtId="165" formatCode="0.0%"/>
    <numFmt numFmtId="166" formatCode="0.00&quot;×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E05B00"/>
      <sz val="12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FKB Campus</author>
  </authors>
  <commentList>
    <comment ref="B8" authorId="0" shapeId="0">
      <text>
        <t>Ortsüblicher Arztgehalt bei Anstellung; wird vom Praxisgewinn abgezogen.</t>
      </text>
    </comment>
    <comment ref="B9" authorId="0" shapeId="0">
      <text>
        <t>IDW S5: typisch 20–30 % je nach Inhaberabhängigkeit.</t>
      </text>
    </comment>
    <comment ref="B10" authorId="0" shapeId="0">
      <text>
        <t>Je nach Fach/Lage ca. 2,0–3,5×.</t>
      </text>
    </comment>
    <comment ref="B11" authorId="0" shapeId="0">
      <text>
        <t>Marktwert per Gutachten, nicht Buchwert/AfA.</t>
      </text>
    </comment>
  </commentList>
</comments>
</file>

<file path=xl/comments/comment2.xml><?xml version="1.0" encoding="utf-8"?>
<comments xmlns="http://schemas.openxmlformats.org/spreadsheetml/2006/main">
  <authors>
    <author>FKB Campus</author>
  </authors>
  <commentList>
    <comment ref="B11" authorId="0" shapeId="0">
      <text>
        <t>Prognose Jahr 1 (z. B. 65 % Patientenübernahme).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 ht="28" customHeight="1">
      <c r="A1" s="1" t="inlineStr">
        <is>
          <t>M07 · Praxisbewertung nach IDW S5</t>
        </is>
      </c>
    </row>
    <row r="2" ht="16" customHeight="1">
      <c r="A2" s="2" t="inlineStr">
        <is>
          <t>Modifizierte Ertragswertmethode · GELB = Eingabe · Beispiel: Dr. Mayer, Zahnarztpraxis-Übernahme (überschreibbar)</t>
        </is>
      </c>
    </row>
    <row r="4">
      <c r="A4" s="3" t="inlineStr">
        <is>
          <t>EINGABE</t>
        </is>
      </c>
    </row>
    <row r="5">
      <c r="A5" s="4" t="inlineStr">
        <is>
          <t>Jahresüberschuss Jahr −2</t>
        </is>
      </c>
      <c r="B5" s="5" t="n">
        <v>290000</v>
      </c>
    </row>
    <row r="6">
      <c r="A6" s="4" t="inlineStr">
        <is>
          <t>Jahresüberschuss Jahr −1</t>
        </is>
      </c>
      <c r="B6" s="5" t="n">
        <v>310000</v>
      </c>
    </row>
    <row r="7">
      <c r="A7" s="4" t="inlineStr">
        <is>
          <t>Jahresüberschuss laufendes Jahr</t>
        </is>
      </c>
      <c r="B7" s="5" t="n">
        <v>310000</v>
      </c>
    </row>
    <row r="8">
      <c r="A8" s="4" t="inlineStr">
        <is>
          <t>Kalk. Unternehmerlohn (arztüblich)</t>
        </is>
      </c>
      <c r="B8" s="5" t="n">
        <v>130000</v>
      </c>
    </row>
    <row r="9">
      <c r="A9" s="4" t="inlineStr">
        <is>
          <t>Risikoabschlag (Zulassung/Inhaberabh.)</t>
        </is>
      </c>
      <c r="B9" s="6" t="n">
        <v>0.25</v>
      </c>
    </row>
    <row r="10">
      <c r="A10" s="4" t="inlineStr">
        <is>
          <t>Kapitalisierungsfaktor</t>
        </is>
      </c>
      <c r="B10" s="7" t="n">
        <v>3</v>
      </c>
    </row>
    <row r="11">
      <c r="A11" s="4" t="inlineStr">
        <is>
          <t>Substanzwert (Zeitwert Einrichtung/Geräte)</t>
        </is>
      </c>
      <c r="B11" s="5" t="n">
        <v>160000</v>
      </c>
    </row>
    <row r="12">
      <c r="A12" s="4" t="inlineStr">
        <is>
          <t>Vereinbarter Kaufpreis (gesamt)</t>
        </is>
      </c>
      <c r="B12" s="5" t="n">
        <v>380000</v>
      </c>
    </row>
    <row r="14">
      <c r="A14" s="3" t="inlineStr">
        <is>
          <t>BERECHNUNG · Ideeller Praxiswert (Goodwill)</t>
        </is>
      </c>
    </row>
    <row r="15">
      <c r="A15" s="4" t="inlineStr">
        <is>
          <t>Ø Jahresüberschuss (3 Jahre)</t>
        </is>
      </c>
      <c r="B15" s="8">
        <f>AVERAGE(B5:B7)</f>
        <v/>
      </c>
      <c r="C15" s="9" t="inlineStr">
        <is>
          <t>Bereinigungsschritte der modifizierten Ertragswertmethode</t>
        </is>
      </c>
    </row>
    <row r="16">
      <c r="A16" s="4" t="inlineStr">
        <is>
          <t>./. Unternehmerlohn  = Übergewinn</t>
        </is>
      </c>
      <c r="B16" s="8">
        <f>B15-B8</f>
        <v/>
      </c>
    </row>
    <row r="17">
      <c r="A17" s="4" t="inlineStr">
        <is>
          <t>./. Risikoabschlag  = nachhaltiger Jahresertrag</t>
        </is>
      </c>
      <c r="B17" s="8">
        <f>B16*(1-B9)</f>
        <v/>
      </c>
    </row>
    <row r="18">
      <c r="A18" s="10" t="inlineStr">
        <is>
          <t>× Kapitalisierungsfaktor  = Goodwill</t>
        </is>
      </c>
      <c r="B18" s="11">
        <f>B17*B10</f>
        <v/>
      </c>
    </row>
    <row r="19">
      <c r="A19" s="4" t="inlineStr">
        <is>
          <t>+ Substanzwert</t>
        </is>
      </c>
      <c r="B19" s="8">
        <f>B11</f>
        <v/>
      </c>
    </row>
    <row r="20">
      <c r="A20" s="10">
        <f> PRAXISWERT GESAMT (IDW S5)</f>
        <v/>
      </c>
      <c r="B20" s="12">
        <f>B18+B11</f>
        <v/>
      </c>
    </row>
    <row r="22">
      <c r="A22" s="3" t="inlineStr">
        <is>
          <t>BEWERTUNG DES KAUFPREISES</t>
        </is>
      </c>
    </row>
    <row r="23">
      <c r="A23" s="4" t="inlineStr">
        <is>
          <t>Vereinbarter Goodwill (Kaufpreis − Substanzwert)</t>
        </is>
      </c>
      <c r="B23" s="8">
        <f>B12-B11</f>
        <v/>
      </c>
    </row>
    <row r="24">
      <c r="A24" s="4" t="inlineStr">
        <is>
          <t>Rechnerischer Goodwill (IDW S5)</t>
        </is>
      </c>
      <c r="B24" s="8">
        <f>B18</f>
        <v/>
      </c>
    </row>
    <row r="25">
      <c r="A25" s="4" t="inlineStr">
        <is>
          <t>Differenz (rechnerisch − vereinbart)</t>
        </is>
      </c>
      <c r="B25" s="8">
        <f>B24-B23</f>
        <v/>
      </c>
    </row>
    <row r="26">
      <c r="A26" s="4" t="inlineStr">
        <is>
          <t>Impliziter Kapitalisierungsfaktor</t>
        </is>
      </c>
      <c r="B26" s="13">
        <f>IF(B17=0,0,B23/B17)</f>
        <v/>
      </c>
    </row>
    <row r="27">
      <c r="A27" s="10" t="inlineStr">
        <is>
          <t>Einordnung</t>
        </is>
      </c>
      <c r="B27" s="14">
        <f>IF(B23&lt;=B24,"angemessen / günstig – vereinbarter Goodwill ≤ rechnerischer Wert",IF(B23&lt;=B24*1.2,"vertretbar – nahe am rechnerischen Wert","zu hoch – über rechnerischem Wert, Nachverhandlung prüfen"))</f>
        <v/>
      </c>
    </row>
  </sheetData>
  <mergeCells count="7">
    <mergeCell ref="A1:C1"/>
    <mergeCell ref="A14:C14"/>
    <mergeCell ref="A22:C22"/>
    <mergeCell ref="B27:C27"/>
    <mergeCell ref="A4:C4"/>
    <mergeCell ref="C15:C19"/>
    <mergeCell ref="A2:C2"/>
  </mergeCells>
  <conditionalFormatting sqref="B27">
    <cfRule type="expression" priority="1" dxfId="0">
      <formula>$B$23&lt;=$B$24</formula>
    </cfRule>
    <cfRule type="expression" priority="2" dxfId="1">
      <formula>AND($B$23&gt;$B$24,$B$23&lt;=$B$24*1.2)</formula>
    </cfRule>
    <cfRule type="expression" priority="3" dxfId="2">
      <formula>$B$23&gt;$B$24*1.2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 ht="28" customHeight="1">
      <c r="A1" s="1" t="inlineStr">
        <is>
          <t>M07 · Finanzierung &amp; Kapitaldienst (DSCR)</t>
        </is>
      </c>
    </row>
    <row r="2" ht="16" customHeight="1">
      <c r="A2" s="2" t="inlineStr">
        <is>
          <t>GELB = Eingabe · linearer &amp; annuitätischer Kapitaldienst · Beispiel: Dr. Mayer</t>
        </is>
      </c>
    </row>
    <row r="4">
      <c r="A4" s="3" t="inlineStr">
        <is>
          <t>EINGABE</t>
        </is>
      </c>
    </row>
    <row r="5">
      <c r="A5" s="4" t="inlineStr">
        <is>
          <t>Praxiskauf (Substanz + Goodwill)</t>
        </is>
      </c>
      <c r="B5" s="5" t="n">
        <v>380000</v>
      </c>
    </row>
    <row r="6">
      <c r="A6" s="4" t="inlineStr">
        <is>
          <t>Betriebsmittel / Anlaufkosten</t>
        </is>
      </c>
      <c r="B6" s="5" t="n">
        <v>30000</v>
      </c>
    </row>
    <row r="7">
      <c r="A7" s="4" t="inlineStr">
        <is>
          <t>Modernisierung / Geräte</t>
        </is>
      </c>
      <c r="B7" s="5" t="n">
        <v>25000</v>
      </c>
    </row>
    <row r="8">
      <c r="A8" s="4" t="inlineStr">
        <is>
          <t>Eigenkapital</t>
        </is>
      </c>
      <c r="B8" s="5" t="n">
        <v>55000</v>
      </c>
    </row>
    <row r="9">
      <c r="A9" s="4" t="inlineStr">
        <is>
          <t>Zinssatz p. a.</t>
        </is>
      </c>
      <c r="B9" s="15" t="n">
        <v>0.055</v>
      </c>
    </row>
    <row r="10">
      <c r="A10" s="4" t="inlineStr">
        <is>
          <t>Laufzeit (Jahre)</t>
        </is>
      </c>
      <c r="B10" s="16" t="n">
        <v>10</v>
      </c>
    </row>
    <row r="11">
      <c r="A11" s="4" t="inlineStr">
        <is>
          <t>Freier Cashflow vor Kapitaldienst p. a.</t>
        </is>
      </c>
      <c r="B11" s="5" t="n">
        <v>75000</v>
      </c>
    </row>
    <row r="12">
      <c r="A12" s="4" t="inlineStr">
        <is>
          <t>Mindest-DSCR</t>
        </is>
      </c>
      <c r="B12" s="17" t="n">
        <v>1.2</v>
      </c>
    </row>
    <row r="14">
      <c r="A14" s="3" t="inlineStr">
        <is>
          <t>BERECHNUNG · Kapitaldienst</t>
        </is>
      </c>
    </row>
    <row r="15">
      <c r="A15" s="4" t="inlineStr">
        <is>
          <t>Gesamtinvestition</t>
        </is>
      </c>
      <c r="B15" s="8">
        <f>SUM(B5:B7)</f>
        <v/>
      </c>
    </row>
    <row r="16">
      <c r="A16" s="10" t="inlineStr">
        <is>
          <t>./. Eigenkapital  = Kreditbedarf</t>
        </is>
      </c>
      <c r="B16" s="11">
        <f>B15-B8</f>
        <v/>
      </c>
    </row>
    <row r="17">
      <c r="A17" s="4" t="inlineStr">
        <is>
          <t>Tilgung p. a. (linear)</t>
        </is>
      </c>
      <c r="B17" s="8">
        <f>B16/B10</f>
        <v/>
      </c>
    </row>
    <row r="18">
      <c r="A18" s="4" t="inlineStr">
        <is>
          <t>Zins Jahr 1</t>
        </is>
      </c>
      <c r="B18" s="8">
        <f>B16*B9</f>
        <v/>
      </c>
    </row>
    <row r="19">
      <c r="A19" s="4" t="inlineStr">
        <is>
          <t>Kapitaldienst Jahr 1 (linear)</t>
        </is>
      </c>
      <c r="B19" s="8">
        <f>B17+B18</f>
        <v/>
      </c>
    </row>
    <row r="20">
      <c r="A20" s="4" t="inlineStr">
        <is>
          <t>Ø Kapitaldienst (linear, über Laufzeit)</t>
        </is>
      </c>
      <c r="B20" s="8">
        <f>B17+B16*B9*(B10+1)/(2*B10)</f>
        <v/>
      </c>
    </row>
    <row r="21">
      <c r="A21" s="4" t="inlineStr">
        <is>
          <t>Annuität p. a. (Alternative)</t>
        </is>
      </c>
      <c r="B21" s="8">
        <f>B16*B9/(1-(1+B9)^-B10)</f>
        <v/>
      </c>
    </row>
    <row r="23">
      <c r="A23" s="3" t="inlineStr">
        <is>
          <t>TRAGFÄHIGKEIT (DSCR = freier CF / Kapitaldienst)</t>
        </is>
      </c>
    </row>
    <row r="24">
      <c r="A24" s="10" t="inlineStr">
        <is>
          <t>DSCR (Ø linear – maßgeblich)</t>
        </is>
      </c>
      <c r="B24" s="18">
        <f>B11/B20</f>
        <v/>
      </c>
      <c r="C24" s="9" t="inlineStr">
        <is>
          <t>Bei Anlaufrisiko: tilgungsfreies 1. Jahr als risikoadäquate Strukturierung.</t>
        </is>
      </c>
    </row>
    <row r="25">
      <c r="A25" s="4" t="inlineStr">
        <is>
          <t>DSCR (linear Jahr 1 – Anlaufstress)</t>
        </is>
      </c>
      <c r="B25" s="19">
        <f>B11/B19</f>
        <v/>
      </c>
    </row>
    <row r="26">
      <c r="A26" s="4" t="inlineStr">
        <is>
          <t>DSCR (Annuität)</t>
        </is>
      </c>
      <c r="B26" s="19">
        <f>B11/B21</f>
        <v/>
      </c>
    </row>
    <row r="27">
      <c r="A27" s="10" t="inlineStr">
        <is>
          <t>Bewertung</t>
        </is>
      </c>
      <c r="B27" s="14">
        <f>IF(B24&gt;=B12,"tragfähig – DSCR über Mindestanforderung","unter Mindest-DSCR – Struktur anpassen (z. B. tilgungsfreies Anlaufjahr)")</f>
        <v/>
      </c>
    </row>
  </sheetData>
  <mergeCells count="7">
    <mergeCell ref="A1:C1"/>
    <mergeCell ref="A23:C23"/>
    <mergeCell ref="A14:C14"/>
    <mergeCell ref="C24:C26"/>
    <mergeCell ref="B27:C27"/>
    <mergeCell ref="A4:C4"/>
    <mergeCell ref="A2:C2"/>
  </mergeCells>
  <conditionalFormatting sqref="B27">
    <cfRule type="expression" priority="1" dxfId="0">
      <formula>$B$24&gt;=$B$12</formula>
    </cfRule>
    <cfRule type="expression" priority="2" dxfId="2">
      <formula>$B$24&lt;$B$12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2026-07-01T18:41:05Z</dcterms:created>
  <dcterms:modified xmlns:dcterms="http://purl.org/dc/terms/" xmlns:xsi="http://www.w3.org/2001/XMLSchema-instance" xsi:type="dcterms:W3CDTF">2026-07-01T18:41:05Z</dcterms:modified>
</cp:coreProperties>
</file>