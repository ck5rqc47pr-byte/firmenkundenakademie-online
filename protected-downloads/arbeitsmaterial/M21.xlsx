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-Felder-Scoring" sheetId="1" state="visible" r:id="rId1"/>
    <sheet xmlns:r="http://schemas.openxmlformats.org/officeDocument/2006/relationships" name="Konditionier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1"/>
    </font>
    <font>
      <name val="Calibri"/>
      <b val="1"/>
      <sz val="11"/>
    </font>
    <font>
      <name val="Calibri"/>
      <b val="1"/>
      <color rgb="00E05B00"/>
      <sz val="14"/>
    </font>
    <font>
      <name val="Calibri"/>
      <b val="1"/>
      <sz val="12"/>
    </font>
    <font>
      <name val="Calibri"/>
      <i val="1"/>
      <sz val="9"/>
    </font>
    <font>
      <name val="Calibri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003DA5"/>
      </patternFill>
    </fill>
    <fill>
      <patternFill patternType="solid">
        <fgColor rgb="00FFFF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" fontId="5" fillId="3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9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2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FKB Campus</author>
  </authors>
  <commentList>
    <comment ref="B6" authorId="0" shapeId="0">
      <text>
        <t>Aktuellen Referenzzinssatz eintragen.</t>
      </text>
    </comment>
    <comment ref="B7" authorId="0" shapeId="0">
      <text>
        <t>Aufschlag gemäß Score/Risiko; im Fall 2,0 % für erhöhtes Risiko.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6" customWidth="1" min="4" max="4"/>
  </cols>
  <sheetData>
    <row r="1" ht="28" customHeight="1">
      <c r="A1" s="1" t="inlineStr">
        <is>
          <t>M21 · 8-Felder-Kreditanalyse – Scoring &amp; Votum</t>
        </is>
      </c>
    </row>
    <row r="2" ht="16" customHeight="1">
      <c r="A2" s="2" t="inlineStr">
        <is>
          <t>Bewertung je Feld 1–5 (GELB = Eingabe) · Gewichtung fix · Gesamtscore &amp; Votum automatisch · Beispiel: Metallbau Schnell GmbH (überschreibbar)</t>
        </is>
      </c>
    </row>
    <row r="4">
      <c r="A4" s="3" t="inlineStr">
        <is>
          <t>EINGABE · Bewertung je Feld  (1 = sehr kritisch … 5 = sehr gut)</t>
        </is>
      </c>
    </row>
    <row r="5">
      <c r="A5" s="4" t="inlineStr">
        <is>
          <t>Feld</t>
        </is>
      </c>
      <c r="B5" s="4" t="inlineStr">
        <is>
          <t>Bewertung (1–5)</t>
        </is>
      </c>
      <c r="C5" s="4" t="inlineStr">
        <is>
          <t>Gewichtung</t>
        </is>
      </c>
      <c r="D5" s="4" t="inlineStr">
        <is>
          <t>Gew. Beitrag</t>
        </is>
      </c>
    </row>
    <row r="6">
      <c r="A6" s="5" t="inlineStr">
        <is>
          <t>1. Zweck &amp; Verwendung</t>
        </is>
      </c>
      <c r="B6" s="6" t="n">
        <v>5</v>
      </c>
      <c r="C6" s="7" t="n">
        <v>0.1</v>
      </c>
      <c r="D6" s="8">
        <f>B6*C6</f>
        <v/>
      </c>
    </row>
    <row r="7">
      <c r="A7" s="5" t="inlineStr">
        <is>
          <t>2. Rückzahlungsquelle (Cashflow)</t>
        </is>
      </c>
      <c r="B7" s="6" t="n">
        <v>3</v>
      </c>
      <c r="C7" s="7" t="n">
        <v>0.25</v>
      </c>
      <c r="D7" s="8">
        <f>B7*C7</f>
        <v/>
      </c>
    </row>
    <row r="8">
      <c r="A8" s="5" t="inlineStr">
        <is>
          <t>3. Kapitalstruktur</t>
        </is>
      </c>
      <c r="B8" s="6" t="n">
        <v>2</v>
      </c>
      <c r="C8" s="7" t="n">
        <v>0.15</v>
      </c>
      <c r="D8" s="8">
        <f>B8*C8</f>
        <v/>
      </c>
    </row>
    <row r="9">
      <c r="A9" s="5" t="inlineStr">
        <is>
          <t>4. Managementqualität</t>
        </is>
      </c>
      <c r="B9" s="6" t="n">
        <v>4</v>
      </c>
      <c r="C9" s="7" t="n">
        <v>0.2</v>
      </c>
      <c r="D9" s="8">
        <f>B9*C9</f>
        <v/>
      </c>
    </row>
    <row r="10">
      <c r="A10" s="5" t="inlineStr">
        <is>
          <t>5. Branchenpositionierung</t>
        </is>
      </c>
      <c r="B10" s="6" t="n">
        <v>3</v>
      </c>
      <c r="C10" s="7" t="n">
        <v>0.1</v>
      </c>
      <c r="D10" s="8">
        <f>B10*C10</f>
        <v/>
      </c>
    </row>
    <row r="11">
      <c r="A11" s="5" t="inlineStr">
        <is>
          <t>6. Sicherheiten</t>
        </is>
      </c>
      <c r="B11" s="6" t="n">
        <v>3</v>
      </c>
      <c r="C11" s="7" t="n">
        <v>0.1</v>
      </c>
      <c r="D11" s="8">
        <f>B11*C11</f>
        <v/>
      </c>
    </row>
    <row r="12">
      <c r="A12" s="5" t="inlineStr">
        <is>
          <t>7. Konditionen &amp; Vertrag</t>
        </is>
      </c>
      <c r="B12" s="6" t="n">
        <v>4</v>
      </c>
      <c r="C12" s="7" t="n">
        <v>0.05</v>
      </c>
      <c r="D12" s="8">
        <f>B12*C12</f>
        <v/>
      </c>
    </row>
    <row r="13">
      <c r="A13" s="5" t="inlineStr">
        <is>
          <t>8. Exit-Szenarien</t>
        </is>
      </c>
      <c r="B13" s="6" t="n">
        <v>3</v>
      </c>
      <c r="C13" s="7" t="n">
        <v>0.05</v>
      </c>
      <c r="D13" s="8">
        <f>B13*C13</f>
        <v/>
      </c>
    </row>
    <row r="14">
      <c r="A14" s="9" t="inlineStr">
        <is>
          <t>GESAMT</t>
        </is>
      </c>
      <c r="B14" s="10" t="n"/>
      <c r="C14" s="11">
        <f>SUM(C6:C13)</f>
        <v/>
      </c>
      <c r="D14" s="12">
        <f>SUM(D6:D13)</f>
        <v/>
      </c>
    </row>
    <row r="16">
      <c r="A16" s="3" t="inlineStr">
        <is>
          <t>ERGEBNIS</t>
        </is>
      </c>
    </row>
    <row r="17">
      <c r="A17" s="13" t="inlineStr">
        <is>
          <t>GESAMTSCORE (1–5)</t>
        </is>
      </c>
      <c r="B17" s="14">
        <f>D14</f>
        <v/>
      </c>
    </row>
    <row r="18">
      <c r="A18" s="13" t="inlineStr">
        <is>
          <t>VOTUM</t>
        </is>
      </c>
      <c r="B18" s="15">
        <f>IF(D14&gt;=4,"ZUSAGE",IF(D14&gt;=2.5,"ZUSAGE MIT AUFLAGEN","ABLEHNUNG"))</f>
        <v/>
      </c>
    </row>
    <row r="19">
      <c r="A19" s="13" t="inlineStr">
        <is>
          <t>Kritische Felder (Bew. ≤ 1)</t>
        </is>
      </c>
      <c r="B19" s="16">
        <f>COUNTIF(B6:B13,"&lt;=1")</f>
        <v/>
      </c>
      <c r="C19" s="17" t="inlineStr">
        <is>
          <t>→ Ablehnung auch bei nicht mitigierbarem kritischem Feld</t>
        </is>
      </c>
    </row>
    <row r="21">
      <c r="A21" s="3" t="inlineStr">
        <is>
          <t>LEGENDE</t>
        </is>
      </c>
    </row>
    <row r="22">
      <c r="A22" s="18" t="inlineStr">
        <is>
          <t>Bewertungsskala: 1 = sehr kritisch · 2 = Warnung · 3 = moderat · 4 = gut · 5 = sehr gut</t>
        </is>
      </c>
    </row>
    <row r="23">
      <c r="A23" s="18" t="inlineStr">
        <is>
          <t>Votum-Schwellen: Score ≥ 4,0 → ZUSAGE · 2,5–3,9 → ZUSAGE MIT AUFLAGEN · &lt; 2,5 → ABLEHNUNG</t>
        </is>
      </c>
    </row>
    <row r="24">
      <c r="A24" s="18" t="inlineStr">
        <is>
          <t>Gewichtung folgt dem 8-Felder-Framework (Cashflow 25 % und Management 20 % dominieren).</t>
        </is>
      </c>
    </row>
    <row r="25">
      <c r="A25" s="18" t="inlineStr">
        <is>
          <t>Grundlage: MaRisk BTO 1.1 – nachvollziehbare, gewichtete Entscheidungsvorlage.</t>
        </is>
      </c>
    </row>
  </sheetData>
  <mergeCells count="11">
    <mergeCell ref="A1:D1"/>
    <mergeCell ref="A23:D23"/>
    <mergeCell ref="A22:D22"/>
    <mergeCell ref="A4:D4"/>
    <mergeCell ref="C19:D19"/>
    <mergeCell ref="A21:D21"/>
    <mergeCell ref="B18:D18"/>
    <mergeCell ref="A25:D25"/>
    <mergeCell ref="A24:D24"/>
    <mergeCell ref="A16:D16"/>
    <mergeCell ref="A2:D2"/>
  </mergeCells>
  <conditionalFormatting sqref="B18">
    <cfRule type="expression" priority="1" dxfId="0">
      <formula>$D$14&gt;=4</formula>
    </cfRule>
    <cfRule type="expression" priority="2" dxfId="1">
      <formula>AND($D$14&gt;=2.5,$D$14&lt;4)</formula>
    </cfRule>
    <cfRule type="expression" priority="3" dxfId="2">
      <formula>$D$14&lt;2.5</formula>
    </cfRule>
  </conditionalFormatting>
  <dataValidations count="1">
    <dataValidation sqref="B6:B13" showDropDown="0" showInputMessage="0" showErrorMessage="1" allowBlank="1" errorTitle="Ungültig" error="Bitte einen ganzzahligen Wert von 1 bis 5 eingeben.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</cols>
  <sheetData>
    <row r="1" ht="28" customHeight="1">
      <c r="A1" s="1" t="inlineStr">
        <is>
          <t>M21 · Konditionierungsblatt</t>
        </is>
      </c>
    </row>
    <row r="2">
      <c r="A2" s="2" t="inlineStr">
        <is>
          <t>Zins = Referenz + Spread · Annuität automatisch · GELB = Eingabe · Beispiel: Metallbau Schnell</t>
        </is>
      </c>
    </row>
    <row r="4">
      <c r="A4" s="3" t="inlineStr">
        <is>
          <t>EINGABE</t>
        </is>
      </c>
    </row>
    <row r="5">
      <c r="A5" s="19" t="inlineStr">
        <is>
          <t>Kreditbetrag (TEUR)</t>
        </is>
      </c>
      <c r="B5" s="20" t="n">
        <v>420</v>
      </c>
    </row>
    <row r="6">
      <c r="A6" s="19" t="inlineStr">
        <is>
          <t>Referenzzins (z. B. EURIBOR/Swap)</t>
        </is>
      </c>
      <c r="B6" s="21" t="n">
        <v>0.03</v>
      </c>
    </row>
    <row r="7">
      <c r="A7" s="19" t="inlineStr">
        <is>
          <t>Spread (risikoadjustiert)</t>
        </is>
      </c>
      <c r="B7" s="21" t="n">
        <v>0.02</v>
      </c>
    </row>
    <row r="8">
      <c r="A8" s="19" t="inlineStr">
        <is>
          <t>Laufzeit (Jahre)</t>
        </is>
      </c>
      <c r="B8" s="6" t="n">
        <v>7</v>
      </c>
    </row>
    <row r="10">
      <c r="A10" s="3" t="inlineStr">
        <is>
          <t>ERGEBNIS · automatisch berechnet</t>
        </is>
      </c>
    </row>
    <row r="11">
      <c r="A11" s="13" t="inlineStr">
        <is>
          <t>Zinssatz p. a. (Referenz + Spread)</t>
        </is>
      </c>
      <c r="B11" s="22">
        <f>B6+B7</f>
        <v/>
      </c>
    </row>
    <row r="12">
      <c r="A12" s="13" t="inlineStr">
        <is>
          <t>Annuität p. a. (TEUR)</t>
        </is>
      </c>
      <c r="B12" s="23">
        <f>B5*B11/(1-(1+B11)^-B8)</f>
        <v/>
      </c>
      <c r="C12" s="24" t="inlineStr">
        <is>
          <t>gleichbleibende Jahresrate (Zins + Tilgung)</t>
        </is>
      </c>
    </row>
    <row r="13">
      <c r="A13" s="19" t="inlineStr">
        <is>
          <t>davon Zins Jahr 1 (TEUR)</t>
        </is>
      </c>
      <c r="B13" s="23">
        <f>B5*B11</f>
        <v/>
      </c>
    </row>
    <row r="14">
      <c r="A14" s="19" t="inlineStr">
        <is>
          <t>davon Tilgung Jahr 1 (TEUR)</t>
        </is>
      </c>
      <c r="B14" s="23">
        <f>B12-B13</f>
        <v/>
      </c>
    </row>
    <row r="15">
      <c r="A15" s="19" t="inlineStr">
        <is>
          <t>Alternative: lineare Tilgung p. a. (TEUR)</t>
        </is>
      </c>
      <c r="B15" s="23">
        <f>B5/B8</f>
        <v/>
      </c>
      <c r="C15" s="24" t="inlineStr">
        <is>
          <t>konstante Tilgung, sinkende Zinslast → fallende Jahresrate</t>
        </is>
      </c>
    </row>
    <row r="17">
      <c r="A17" s="3" t="inlineStr">
        <is>
          <t>COVENANTS (Vorschlag aus dem Fall)</t>
        </is>
      </c>
    </row>
    <row r="18">
      <c r="A18" s="19" t="inlineStr">
        <is>
          <t>☐  EK-Quote ≥ 22 % (Kündigung bei &lt; 20 %)</t>
        </is>
      </c>
    </row>
    <row r="19">
      <c r="A19" s="19" t="inlineStr">
        <is>
          <t>☐  Monatliche Umsatzmeldung</t>
        </is>
      </c>
    </row>
    <row r="20">
      <c r="A20" s="19" t="inlineStr">
        <is>
          <t>☐  Jahresabschluss binnen 6 Monaten</t>
        </is>
      </c>
    </row>
    <row r="21">
      <c r="A21" s="19" t="inlineStr">
        <is>
          <t>☐  Verbindlicher Nachfolgeplan bis 12/2026</t>
        </is>
      </c>
    </row>
  </sheetData>
  <mergeCells count="9">
    <mergeCell ref="A10:C10"/>
    <mergeCell ref="A19:C19"/>
    <mergeCell ref="A1:C1"/>
    <mergeCell ref="A17:C17"/>
    <mergeCell ref="A18:C18"/>
    <mergeCell ref="A21:C21"/>
    <mergeCell ref="A4:C4"/>
    <mergeCell ref="A20:C20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2026-07-01T18:22:46Z</dcterms:created>
  <dcterms:modified xmlns:dcterms="http://purl.org/dc/terms/" xmlns:xsi="http://www.w3.org/2001/XMLSchema-instance" xsi:type="dcterms:W3CDTF">2026-07-01T18:22:46Z</dcterms:modified>
</cp:coreProperties>
</file>